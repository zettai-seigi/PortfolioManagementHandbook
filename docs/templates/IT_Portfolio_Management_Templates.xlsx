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Business Case Template" sheetId="2" state="visible" r:id="rId2"/>
    <sheet name="Alternatives Analysis" sheetId="3" state="visible" r:id="rId3"/>
    <sheet name="Benefits Register" sheetId="4" state="visible" r:id="rId4"/>
    <sheet name="Cost Estimation" sheetId="5" state="visible" r:id="rId5"/>
    <sheet name="Risk Assessment" sheetId="6" state="visible" r:id="rId6"/>
    <sheet name="Scoring Worksheet" sheetId="7" state="visible" r:id="rId7"/>
    <sheet name="Portfolio Dashboard" sheetId="8" state="visible" r:id="rId8"/>
    <sheet name="Resource Planning" sheetId="9" state="visible" r:id="rId9"/>
    <sheet name="Implementation Timeline" sheetId="10" state="visible" r:id="rId10"/>
    <sheet name="Portfolio Register"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F5496"/>
      <sz val="18"/>
    </font>
    <font>
      <i val="1"/>
      <sz val="12"/>
    </font>
    <font>
      <b val="1"/>
      <sz val="14"/>
    </font>
    <font>
      <b val="1"/>
    </font>
    <font>
      <color rgb="000563C1"/>
      <u val="single"/>
    </font>
    <font>
      <b val="1"/>
      <color rgb="002F5496"/>
      <sz val="16"/>
    </font>
    <font>
      <b val="1"/>
      <sz val="12"/>
    </font>
    <font>
      <b val="1"/>
      <color rgb="00FFFFFF"/>
      <sz val="11"/>
    </font>
    <font>
      <b val="1"/>
      <color rgb="00FFFFFF"/>
    </font>
  </fonts>
  <fills count="9">
    <fill>
      <patternFill/>
    </fill>
    <fill>
      <patternFill patternType="gray125"/>
    </fill>
    <fill>
      <patternFill patternType="solid">
        <fgColor rgb="002F5496"/>
        <bgColor rgb="002F5496"/>
      </patternFill>
    </fill>
    <fill>
      <patternFill patternType="solid">
        <fgColor rgb="00FFFFCC"/>
        <bgColor rgb="00FFFFCC"/>
      </patternFill>
    </fill>
    <fill>
      <patternFill patternType="solid">
        <fgColor rgb="005B9BD5"/>
        <bgColor rgb="005B9BD5"/>
      </patternFill>
    </fill>
    <fill>
      <patternFill patternType="solid">
        <fgColor rgb="00E2EFDA"/>
        <bgColor rgb="00E2EFDA"/>
      </patternFill>
    </fill>
    <fill>
      <patternFill patternType="solid">
        <fgColor rgb="00D6DCE5"/>
        <bgColor rgb="00D6DCE5"/>
      </patternFill>
    </fill>
    <fill>
      <patternFill patternType="solid">
        <fgColor rgb="00C00000"/>
        <bgColor rgb="00C00000"/>
      </patternFill>
    </fill>
    <fill>
      <patternFill patternType="solid">
        <fgColor rgb="00ED7D31"/>
        <bgColor rgb="00ED7D31"/>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center"/>
    </xf>
    <xf numFmtId="0" fontId="8" fillId="2" borderId="0" pivotButton="0" quotePrefix="0" xfId="0"/>
    <xf numFmtId="0" fontId="0" fillId="3" borderId="1" pivotButton="0" quotePrefix="0" xfId="0"/>
    <xf numFmtId="0" fontId="8" fillId="4" borderId="0" pivotButton="0" quotePrefix="0" xfId="0"/>
    <xf numFmtId="0" fontId="0" fillId="0" borderId="4" pivotButton="0" quotePrefix="0" xfId="0"/>
    <xf numFmtId="0" fontId="0" fillId="0" borderId="5" pivotButton="0" quotePrefix="0" xfId="0"/>
    <xf numFmtId="0" fontId="0" fillId="3" borderId="1" applyAlignment="1" pivotButton="0" quotePrefix="0" xfId="0">
      <alignment vertical="top" wrapText="1"/>
    </xf>
    <xf numFmtId="0" fontId="8" fillId="2" borderId="1" applyAlignment="1" pivotButton="0" quotePrefix="0" xfId="0">
      <alignment horizontal="center" wrapText="1"/>
    </xf>
    <xf numFmtId="0" fontId="4" fillId="0" borderId="1" pivotButton="0" quotePrefix="0" xfId="0"/>
    <xf numFmtId="0" fontId="0" fillId="5" borderId="1" pivotButton="0" quotePrefix="0" xfId="0"/>
    <xf numFmtId="0" fontId="4" fillId="4" borderId="1" pivotButton="0" quotePrefix="0" xfId="0"/>
    <xf numFmtId="0" fontId="0" fillId="0" borderId="1" pivotButton="0" quotePrefix="0" xfId="0"/>
    <xf numFmtId="0" fontId="8" fillId="2" borderId="1" applyAlignment="1" pivotButton="0" quotePrefix="0" xfId="0">
      <alignment horizontal="center" vertical="center" wrapText="1"/>
    </xf>
    <xf numFmtId="0" fontId="0" fillId="5" borderId="0" pivotButton="0" quotePrefix="0" xfId="0"/>
    <xf numFmtId="0" fontId="0" fillId="3" borderId="1" applyAlignment="1" pivotButton="0" quotePrefix="0" xfId="0">
      <alignment wrapText="1"/>
    </xf>
    <xf numFmtId="0" fontId="7" fillId="0" borderId="0" pivotButton="0" quotePrefix="0" xfId="0"/>
    <xf numFmtId="0" fontId="7" fillId="5" borderId="1" pivotButton="0" quotePrefix="0" xfId="0"/>
    <xf numFmtId="0" fontId="4" fillId="6" borderId="0" pivotButton="0" quotePrefix="0" xfId="0"/>
    <xf numFmtId="0" fontId="1" fillId="0" borderId="0" applyAlignment="1" pivotButton="0" quotePrefix="0" xfId="0">
      <alignment horizontal="center"/>
    </xf>
    <xf numFmtId="0" fontId="0" fillId="3" borderId="0" applyAlignment="1" pivotButton="0" quotePrefix="0" xfId="0">
      <alignment horizontal="center"/>
    </xf>
    <xf numFmtId="0" fontId="4" fillId="4" borderId="1" applyAlignment="1" pivotButton="0" quotePrefix="0" xfId="0">
      <alignment wrapText="1"/>
    </xf>
    <xf numFmtId="0" fontId="9" fillId="7" borderId="0" pivotButton="0" quotePrefix="0" xfId="0"/>
    <xf numFmtId="0" fontId="9" fillId="8" borderId="0" pivotButton="0" quotePrefix="0" xfId="0"/>
    <xf numFmtId="0" fontId="4" fillId="5" borderId="1" pivotButton="0" quotePrefix="0" xfId="0"/>
    <xf numFmtId="0" fontId="8"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cols>
    <col width="100" customWidth="1" min="1" max="1"/>
  </cols>
  <sheetData>
    <row r="1">
      <c r="A1" s="1" t="inlineStr">
        <is>
          <t>IT PORTFOLIO MANAGEMENT TEMPLATES</t>
        </is>
      </c>
    </row>
    <row r="3">
      <c r="A3" s="2" t="inlineStr">
        <is>
          <t>Based on the IT Portfolio Management Handbook</t>
        </is>
      </c>
    </row>
    <row r="5">
      <c r="A5" s="3" t="inlineStr">
        <is>
          <t>INCLUDED WORKSHEETS:</t>
        </is>
      </c>
    </row>
    <row r="7">
      <c r="A7" s="4" t="inlineStr">
        <is>
          <t>• Business Case Template</t>
        </is>
      </c>
    </row>
    <row r="8">
      <c r="A8" t="inlineStr">
        <is>
          <t xml:space="preserve">  Comprehensive template for investment proposals including executive summary, problem/opportunity, solution, and financial analysis</t>
        </is>
      </c>
    </row>
    <row r="10">
      <c r="A10" s="4" t="inlineStr">
        <is>
          <t>• Alternatives Analysis</t>
        </is>
      </c>
    </row>
    <row r="11">
      <c r="A11" t="inlineStr">
        <is>
          <t xml:space="preserve">  Structured comparison of solution alternatives including cost, benefits, and risk assessment</t>
        </is>
      </c>
    </row>
    <row r="13">
      <c r="A13" s="4" t="inlineStr">
        <is>
          <t>• Benefits Register</t>
        </is>
      </c>
    </row>
    <row r="14">
      <c r="A14" t="inlineStr">
        <is>
          <t xml:space="preserve">  Track and monitor projected and realized benefits throughout the investment lifecycle</t>
        </is>
      </c>
    </row>
    <row r="16">
      <c r="A16" s="4" t="inlineStr">
        <is>
          <t>• Cost Estimation</t>
        </is>
      </c>
    </row>
    <row r="17">
      <c r="A17" t="inlineStr">
        <is>
          <t xml:space="preserve">  Detailed capital and operating cost estimation with 3-year TCO calculation</t>
        </is>
      </c>
    </row>
    <row r="19">
      <c r="A19" s="4" t="inlineStr">
        <is>
          <t>• Risk Assessment</t>
        </is>
      </c>
    </row>
    <row r="20">
      <c r="A20" t="inlineStr">
        <is>
          <t xml:space="preserve">  Risk register for identifying, assessing, and mitigating project risks</t>
        </is>
      </c>
    </row>
    <row r="22">
      <c r="A22" s="4" t="inlineStr">
        <is>
          <t>• Scoring Worksheet</t>
        </is>
      </c>
    </row>
    <row r="23">
      <c r="A23" t="inlineStr">
        <is>
          <t xml:space="preserve">  Multi-dimensional scoring for prioritization using Business Value, Risk, and Cost criteria</t>
        </is>
      </c>
    </row>
    <row r="25">
      <c r="A25" s="4" t="inlineStr">
        <is>
          <t>• Portfolio Dashboard</t>
        </is>
      </c>
    </row>
    <row r="26">
      <c r="A26" t="inlineStr">
        <is>
          <t xml:space="preserve">  Executive dashboard template for portfolio health monitoring and reporting</t>
        </is>
      </c>
    </row>
    <row r="28">
      <c r="A28" s="4" t="inlineStr">
        <is>
          <t>• Resource Planning</t>
        </is>
      </c>
    </row>
    <row r="29">
      <c r="A29" t="inlineStr">
        <is>
          <t xml:space="preserve">  Resource requirements planning by role, source, and timeline</t>
        </is>
      </c>
    </row>
    <row r="31">
      <c r="A31" s="4" t="inlineStr">
        <is>
          <t>• Implementation Timeline</t>
        </is>
      </c>
    </row>
    <row r="32">
      <c r="A32" t="inlineStr">
        <is>
          <t xml:space="preserve">  Gantt-style project timeline with phases and milestones</t>
        </is>
      </c>
    </row>
    <row r="34">
      <c r="A34" s="4" t="inlineStr">
        <is>
          <t>• Portfolio Register</t>
        </is>
      </c>
    </row>
    <row r="35">
      <c r="A35" t="inlineStr">
        <is>
          <t xml:space="preserve">  Master register of all portfolio initiatives with status tracking</t>
        </is>
      </c>
    </row>
    <row r="38">
      <c r="A38" s="3" t="inlineStr">
        <is>
          <t>COLOR CODING:</t>
        </is>
      </c>
    </row>
    <row r="40">
      <c r="A40" t="inlineStr">
        <is>
          <t>• Yellow (Light): Input cells - Enter your data here</t>
        </is>
      </c>
    </row>
    <row r="41">
      <c r="A41" t="inlineStr">
        <is>
          <t>• Green (Light): Calculated cells - Formulas calculate values automatically</t>
        </is>
      </c>
    </row>
    <row r="42">
      <c r="A42" t="inlineStr">
        <is>
          <t>• Blue (Dark): Headers - Section and column headers</t>
        </is>
      </c>
    </row>
    <row r="43">
      <c r="A43" t="inlineStr">
        <is>
          <t>• Blue (Light): Subheaders - Secondary headers</t>
        </is>
      </c>
    </row>
    <row r="44">
      <c r="A44" t="inlineStr">
        <is>
          <t>• Gray (Light): Section labels - Information and guidance</t>
        </is>
      </c>
    </row>
    <row r="47">
      <c r="A47" s="3" t="inlineStr">
        <is>
          <t>USAGE TIPS:</t>
        </is>
      </c>
    </row>
    <row r="49">
      <c r="A49" t="inlineStr">
        <is>
          <t>1. Start with the Business Case Template when proposing new investments</t>
        </is>
      </c>
    </row>
    <row r="50">
      <c r="A50" t="inlineStr">
        <is>
          <t>2. Use the Scoring Worksheet to objectively prioritize initiatives</t>
        </is>
      </c>
    </row>
    <row r="51">
      <c r="A51" t="inlineStr">
        <is>
          <t>3. Track all active initiatives in the Portfolio Register</t>
        </is>
      </c>
    </row>
    <row r="52">
      <c r="A52" t="inlineStr">
        <is>
          <t>4. Update the Portfolio Dashboard regularly for executive reporting</t>
        </is>
      </c>
    </row>
    <row r="53">
      <c r="A53" t="inlineStr">
        <is>
          <t>5. Monitor benefits realization using the Benefits Register</t>
        </is>
      </c>
    </row>
    <row r="54">
      <c r="A54" t="inlineStr">
        <is>
          <t>6. Yellow cells contain dropdown lists - click to see options</t>
        </is>
      </c>
    </row>
    <row r="55">
      <c r="A55" t="inlineStr">
        <is>
          <t>7. Green cells contain formulas - avoid manual entry</t>
        </is>
      </c>
    </row>
    <row r="56">
      <c r="A56" t="inlineStr">
        <is>
          <t>8. Customize thresholds and criteria to match your organization</t>
        </is>
      </c>
    </row>
    <row r="59">
      <c r="A59" t="inlineStr">
        <is>
          <t>For more information, refer to the IT Portfolio Management Handbook:</t>
        </is>
      </c>
    </row>
    <row r="60">
      <c r="A60" s="5" t="inlineStr">
        <is>
          <t>https://zettai-seigi.github.io/PortfolioManagementHandbook/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25" customWidth="1" min="1" max="1"/>
    <col width="40" customWidth="1" min="2" max="2"/>
    <col width="20" customWidth="1" min="3" max="3"/>
    <col width="20" customWidth="1" min="4" max="4"/>
    <col width="15" customWidth="1" min="5" max="5"/>
    <col width="15" customWidth="1" min="6" max="6"/>
  </cols>
  <sheetData>
    <row r="1">
      <c r="A1" s="6" t="inlineStr">
        <is>
          <t>IT INVESTMENT BUSINESS CASE</t>
        </is>
      </c>
    </row>
    <row r="3">
      <c r="A3" s="7" t="inlineStr">
        <is>
          <t>SECTION 1: EXECUTIVE SUMMARY</t>
        </is>
      </c>
    </row>
    <row r="4">
      <c r="A4" s="4" t="inlineStr">
        <is>
          <t>Initiative Name:</t>
        </is>
      </c>
      <c r="B4" s="8" t="n"/>
    </row>
    <row r="5">
      <c r="A5" s="4" t="inlineStr">
        <is>
          <t>Business Sponsor:</t>
        </is>
      </c>
      <c r="B5" s="8" t="n"/>
    </row>
    <row r="6">
      <c r="A6" s="4" t="inlineStr">
        <is>
          <t>IT Sponsor:</t>
        </is>
      </c>
      <c r="B6" s="8" t="n"/>
    </row>
    <row r="7">
      <c r="A7" s="4" t="inlineStr">
        <is>
          <t>Department/Business Unit:</t>
        </is>
      </c>
      <c r="B7" s="8" t="n"/>
    </row>
    <row r="8">
      <c r="A8" s="4" t="inlineStr">
        <is>
          <t>Submission Date:</t>
        </is>
      </c>
      <c r="B8" s="8" t="n"/>
    </row>
    <row r="9">
      <c r="A9" s="4" t="inlineStr">
        <is>
          <t>Version:</t>
        </is>
      </c>
      <c r="B9" s="8" t="n"/>
    </row>
    <row r="11">
      <c r="A11" s="9" t="inlineStr">
        <is>
          <t>Financial Summary</t>
        </is>
      </c>
    </row>
    <row r="12">
      <c r="A12" s="4" t="inlineStr">
        <is>
          <t>Total Investment Requested:</t>
        </is>
      </c>
      <c r="B12" s="8" t="n"/>
      <c r="C12" t="inlineStr">
        <is>
          <t>$</t>
        </is>
      </c>
    </row>
    <row r="13">
      <c r="A13" s="4" t="inlineStr">
        <is>
          <t>Expected Annual Benefits (Steady State):</t>
        </is>
      </c>
      <c r="B13" s="8" t="n"/>
      <c r="C13" t="inlineStr">
        <is>
          <t>$</t>
        </is>
      </c>
    </row>
    <row r="14">
      <c r="A14" s="4" t="inlineStr">
        <is>
          <t>ROI (3-Year):</t>
        </is>
      </c>
      <c r="B14" s="8" t="n"/>
      <c r="C14" t="inlineStr">
        <is>
          <t>%</t>
        </is>
      </c>
    </row>
    <row r="15">
      <c r="A15" s="4" t="inlineStr">
        <is>
          <t>Payback Period:</t>
        </is>
      </c>
      <c r="B15" s="8" t="n"/>
      <c r="C15" t="inlineStr">
        <is>
          <t>months</t>
        </is>
      </c>
    </row>
    <row r="16">
      <c r="A16" s="4" t="inlineStr">
        <is>
          <t>NPV (at 10% discount rate):</t>
        </is>
      </c>
      <c r="B16" s="8" t="n"/>
      <c r="C16" t="inlineStr">
        <is>
          <t>$</t>
        </is>
      </c>
    </row>
    <row r="18">
      <c r="A18" s="9" t="inlineStr">
        <is>
          <t>Strategic Alignment</t>
        </is>
      </c>
    </row>
    <row r="19">
      <c r="A19" t="inlineStr">
        <is>
          <t>Primary Strategic Objective:</t>
        </is>
      </c>
      <c r="B19" s="8" t="n"/>
      <c r="C19" s="10" t="n"/>
      <c r="D19" s="10" t="n"/>
      <c r="E19" s="10" t="n"/>
      <c r="F19" s="11" t="n"/>
    </row>
    <row r="20">
      <c r="A20" t="inlineStr">
        <is>
          <t>Investment Category:</t>
        </is>
      </c>
      <c r="B20" s="8" t="n"/>
    </row>
    <row r="21">
      <c r="A21" t="inlineStr">
        <is>
          <t>Recommendation:</t>
        </is>
      </c>
      <c r="B21" s="8" t="n"/>
    </row>
    <row r="23">
      <c r="A23" s="7" t="inlineStr">
        <is>
          <t>SECTION 2: BUSINESS PROBLEM/OPPORTUNITY</t>
        </is>
      </c>
    </row>
    <row r="24">
      <c r="A24" s="4" t="inlineStr">
        <is>
          <t>Business Problem:</t>
        </is>
      </c>
      <c r="B24" s="12" t="n"/>
    </row>
    <row r="25"/>
    <row r="26"/>
    <row r="27">
      <c r="A27" s="4" t="inlineStr">
        <is>
          <t>Business Impact of Inaction:</t>
        </is>
      </c>
      <c r="B27" s="12" t="n"/>
    </row>
    <row r="28"/>
    <row r="29">
      <c r="A29" s="4" t="inlineStr">
        <is>
          <t>Root Cause Analysis:</t>
        </is>
      </c>
      <c r="B29" s="12" t="n"/>
    </row>
    <row r="30"/>
    <row r="31">
      <c r="A31" s="4" t="inlineStr">
        <is>
          <t>Opportunity Description:</t>
        </is>
      </c>
      <c r="B31" s="12" t="n"/>
    </row>
    <row r="32"/>
    <row r="33"/>
    <row r="34">
      <c r="A34" s="4" t="inlineStr">
        <is>
          <t>Urgency/Timing Drivers:</t>
        </is>
      </c>
      <c r="B34" s="12" t="n"/>
    </row>
    <row r="35"/>
    <row r="37">
      <c r="A37" s="7" t="inlineStr">
        <is>
          <t>SECTION 3: PROPOSED SOLUTION</t>
        </is>
      </c>
    </row>
    <row r="38">
      <c r="A38" s="4" t="inlineStr">
        <is>
          <t>Solution Description:</t>
        </is>
      </c>
      <c r="B38" s="12" t="n"/>
    </row>
    <row r="39"/>
    <row r="40"/>
    <row r="41"/>
    <row r="42">
      <c r="A42" s="4" t="inlineStr">
        <is>
          <t>Scope - In Scope:</t>
        </is>
      </c>
      <c r="B42" s="12" t="n"/>
    </row>
    <row r="43"/>
    <row r="44"/>
    <row r="45">
      <c r="A45" s="4" t="inlineStr">
        <is>
          <t>Scope - Out of Scope:</t>
        </is>
      </c>
      <c r="B45" s="12" t="n"/>
    </row>
    <row r="46"/>
    <row r="47">
      <c r="A47" s="4" t="inlineStr">
        <is>
          <t>Implementation Approach:</t>
        </is>
      </c>
      <c r="B47" s="12" t="n"/>
    </row>
    <row r="48"/>
    <row r="49">
      <c r="A49" s="4" t="inlineStr">
        <is>
          <t>Key Technology Components:</t>
        </is>
      </c>
      <c r="B49" s="12" t="n"/>
    </row>
    <row r="50"/>
    <row r="51">
      <c r="A51" s="4" t="inlineStr">
        <is>
          <t>Integration Points:</t>
        </is>
      </c>
      <c r="B51" s="12" t="n"/>
    </row>
    <row r="52"/>
    <row r="53">
      <c r="A53" s="4" t="inlineStr">
        <is>
          <t>External Dependencies:</t>
        </is>
      </c>
      <c r="B53" s="12" t="n"/>
    </row>
    <row r="54"/>
  </sheetData>
  <mergeCells count="19">
    <mergeCell ref="B34:F35"/>
    <mergeCell ref="A37:F37"/>
    <mergeCell ref="B38:F41"/>
    <mergeCell ref="B53:F54"/>
    <mergeCell ref="A18:F18"/>
    <mergeCell ref="A3:F3"/>
    <mergeCell ref="B31:F33"/>
    <mergeCell ref="B49:F50"/>
    <mergeCell ref="A23:F23"/>
    <mergeCell ref="B42:F44"/>
    <mergeCell ref="B45:F46"/>
    <mergeCell ref="B51:F52"/>
    <mergeCell ref="B19:F19"/>
    <mergeCell ref="B47:F48"/>
    <mergeCell ref="B27:F28"/>
    <mergeCell ref="A11:F11"/>
    <mergeCell ref="A1:F1"/>
    <mergeCell ref="B24:F26"/>
    <mergeCell ref="B29:F30"/>
  </mergeCells>
  <dataValidations count="2">
    <dataValidation sqref="B20" showDropDown="0" showInputMessage="0" showErrorMessage="0" allowBlank="1" type="list">
      <formula1>"Transform,Grow,Run,Comply/Secure"</formula1>
    </dataValidation>
    <dataValidation sqref="B21" showDropDown="0" showInputMessage="0" showErrorMessage="0" allowBlank="1" type="list">
      <formula1>"Fund,Fund with Conditions,Defer,Do Not Fund"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0" customWidth="1" min="1" max="1"/>
    <col width="30" customWidth="1" min="2" max="2"/>
    <col width="30" customWidth="1" min="3" max="3"/>
    <col width="30" customWidth="1" min="4" max="4"/>
    <col width="30" customWidth="1" min="5" max="5"/>
  </cols>
  <sheetData>
    <row r="1">
      <c r="A1" s="6" t="inlineStr">
        <is>
          <t>ALTERNATIVES ANALYSIS</t>
        </is>
      </c>
    </row>
    <row r="3">
      <c r="A3" s="13" t="inlineStr">
        <is>
          <t>Criteria</t>
        </is>
      </c>
      <c r="B3" s="13" t="inlineStr">
        <is>
          <t>Option 1: Do Nothing</t>
        </is>
      </c>
      <c r="C3" s="13" t="inlineStr">
        <is>
          <t>Option 2: [Name]</t>
        </is>
      </c>
      <c r="D3" s="13" t="inlineStr">
        <is>
          <t>Option 3: [Name]</t>
        </is>
      </c>
      <c r="E3" s="13" t="inlineStr">
        <is>
          <t>Option 4: [Name]</t>
        </is>
      </c>
    </row>
    <row r="4" ht="60" customHeight="1">
      <c r="A4" s="14" t="inlineStr">
        <is>
          <t>Description</t>
        </is>
      </c>
      <c r="B4" s="12" t="n"/>
      <c r="C4" s="12" t="n"/>
      <c r="D4" s="12" t="n"/>
      <c r="E4" s="12" t="n"/>
    </row>
    <row r="5" ht="60" customHeight="1">
      <c r="A5" s="14" t="inlineStr">
        <is>
          <t>Pros</t>
        </is>
      </c>
      <c r="B5" s="12" t="n"/>
      <c r="C5" s="12" t="n"/>
      <c r="D5" s="12" t="n"/>
      <c r="E5" s="12" t="n"/>
    </row>
    <row r="6" ht="60" customHeight="1">
      <c r="A6" s="14" t="inlineStr">
        <is>
          <t>Cons</t>
        </is>
      </c>
      <c r="B6" s="12" t="n"/>
      <c r="C6" s="12" t="n"/>
      <c r="D6" s="12" t="n"/>
      <c r="E6" s="12" t="n"/>
    </row>
    <row r="7">
      <c r="A7" s="14" t="inlineStr">
        <is>
          <t>Capital Cost ($)</t>
        </is>
      </c>
      <c r="B7" s="12" t="n"/>
      <c r="C7" s="12" t="n"/>
      <c r="D7" s="12" t="n"/>
      <c r="E7" s="12" t="n"/>
    </row>
    <row r="8">
      <c r="A8" s="14" t="inlineStr">
        <is>
          <t>Annual Operating Cost ($)</t>
        </is>
      </c>
      <c r="B8" s="12" t="n"/>
      <c r="C8" s="12" t="n"/>
      <c r="D8" s="12" t="n"/>
      <c r="E8" s="12" t="n"/>
    </row>
    <row r="9">
      <c r="A9" s="14" t="inlineStr">
        <is>
          <t>3-Year TCO ($)</t>
        </is>
      </c>
      <c r="B9" s="12" t="n"/>
      <c r="C9" s="12" t="n"/>
      <c r="D9" s="12" t="n"/>
      <c r="E9" s="12" t="n"/>
    </row>
    <row r="10">
      <c r="A10" s="14" t="inlineStr">
        <is>
          <t>Annual Benefits ($)</t>
        </is>
      </c>
      <c r="B10" s="12" t="n"/>
      <c r="C10" s="12" t="n"/>
      <c r="D10" s="12" t="n"/>
      <c r="E10" s="12" t="n"/>
    </row>
    <row r="11">
      <c r="A11" s="14" t="inlineStr">
        <is>
          <t>3-Year ROI (%)</t>
        </is>
      </c>
      <c r="B11" s="12" t="n"/>
      <c r="C11" s="12" t="n"/>
      <c r="D11" s="12" t="n"/>
      <c r="E11" s="12" t="n"/>
    </row>
    <row r="12">
      <c r="A12" s="14" t="inlineStr">
        <is>
          <t>Technical Risk (L/M/H)</t>
        </is>
      </c>
      <c r="B12" s="12" t="n"/>
      <c r="C12" s="12" t="n"/>
      <c r="D12" s="12" t="n"/>
      <c r="E12" s="12" t="n"/>
    </row>
    <row r="13">
      <c r="A13" s="14" t="inlineStr">
        <is>
          <t>Delivery Risk (L/M/H)</t>
        </is>
      </c>
      <c r="B13" s="12" t="n"/>
      <c r="C13" s="12" t="n"/>
      <c r="D13" s="12" t="n"/>
      <c r="E13" s="12" t="n"/>
    </row>
    <row r="14">
      <c r="A14" s="14" t="inlineStr">
        <is>
          <t>Business Risk (L/M/H)</t>
        </is>
      </c>
      <c r="B14" s="12" t="n"/>
      <c r="C14" s="12" t="n"/>
      <c r="D14" s="12" t="n"/>
      <c r="E14" s="12" t="n"/>
    </row>
    <row r="15">
      <c r="A15" s="14" t="inlineStr">
        <is>
          <t>Time to Implement</t>
        </is>
      </c>
      <c r="B15" s="12" t="n"/>
      <c r="C15" s="12" t="n"/>
      <c r="D15" s="12" t="n"/>
      <c r="E15" s="12" t="n"/>
    </row>
    <row r="16">
      <c r="A16" s="14" t="inlineStr">
        <is>
          <t>Strategic Fit (1-5)</t>
        </is>
      </c>
      <c r="B16" s="12" t="n"/>
      <c r="C16" s="12" t="n"/>
      <c r="D16" s="12" t="n"/>
      <c r="E16" s="12" t="n"/>
    </row>
    <row r="17">
      <c r="A17" s="14" t="inlineStr">
        <is>
          <t>Recommended?</t>
        </is>
      </c>
      <c r="B17" s="12" t="n"/>
      <c r="C17" s="12" t="n"/>
      <c r="D17" s="12" t="n"/>
      <c r="E17" s="12" t="n"/>
    </row>
    <row r="18" ht="60" customHeight="1">
      <c r="A18" s="14" t="inlineStr">
        <is>
          <t>Recommendation Rationale</t>
        </is>
      </c>
      <c r="B18" s="12" t="n"/>
      <c r="C18" s="12" t="n"/>
      <c r="D18" s="12" t="n"/>
      <c r="E18" s="12" t="n"/>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8" customWidth="1" min="1" max="1"/>
    <col width="25" customWidth="1" min="2" max="2"/>
    <col width="15" customWidth="1" min="3" max="3"/>
    <col width="35" customWidth="1" min="4" max="4"/>
    <col width="15" customWidth="1" min="5" max="5"/>
    <col width="15" customWidth="1" min="6" max="6"/>
    <col width="15" customWidth="1" min="7" max="7"/>
    <col width="15" customWidth="1" min="8" max="8"/>
    <col width="20" customWidth="1" min="9" max="9"/>
    <col width="25" customWidth="1" min="10" max="10"/>
    <col width="20" customWidth="1" min="11" max="11"/>
  </cols>
  <sheetData>
    <row r="1">
      <c r="A1" s="6" t="inlineStr">
        <is>
          <t>BENEFITS REGISTER</t>
        </is>
      </c>
    </row>
    <row r="3">
      <c r="A3" s="13" t="inlineStr">
        <is>
          <t>ID</t>
        </is>
      </c>
      <c r="B3" s="13" t="inlineStr">
        <is>
          <t>Benefit Description</t>
        </is>
      </c>
      <c r="C3" s="13" t="inlineStr">
        <is>
          <t>Benefit Type</t>
        </is>
      </c>
      <c r="D3" s="13" t="inlineStr">
        <is>
          <t>Measurement Approach</t>
        </is>
      </c>
      <c r="E3" s="13" t="inlineStr">
        <is>
          <t>Baseline</t>
        </is>
      </c>
      <c r="F3" s="13" t="inlineStr">
        <is>
          <t>Target</t>
        </is>
      </c>
      <c r="G3" s="13" t="inlineStr">
        <is>
          <t>Year 1</t>
        </is>
      </c>
      <c r="H3" s="13" t="inlineStr">
        <is>
          <t>Year 2</t>
        </is>
      </c>
      <c r="I3" s="13" t="inlineStr">
        <is>
          <t>Year 3</t>
        </is>
      </c>
      <c r="J3" s="13" t="inlineStr">
        <is>
          <t>Benefits Owner</t>
        </is>
      </c>
      <c r="K3" s="13" t="inlineStr">
        <is>
          <t>Status</t>
        </is>
      </c>
    </row>
    <row r="4">
      <c r="A4" s="8" t="inlineStr">
        <is>
          <t>B1</t>
        </is>
      </c>
      <c r="B4" s="8" t="n"/>
      <c r="C4" s="8" t="n"/>
      <c r="D4" s="8" t="n"/>
      <c r="E4" s="8" t="n"/>
      <c r="F4" s="8" t="n"/>
      <c r="G4" s="8" t="n"/>
      <c r="H4" s="8" t="n"/>
      <c r="I4" s="8" t="n"/>
      <c r="J4" s="8" t="n"/>
      <c r="K4" s="8" t="n"/>
    </row>
    <row r="5">
      <c r="A5" s="8" t="inlineStr">
        <is>
          <t>B2</t>
        </is>
      </c>
      <c r="B5" s="8" t="n"/>
      <c r="C5" s="8" t="n"/>
      <c r="D5" s="8" t="n"/>
      <c r="E5" s="8" t="n"/>
      <c r="F5" s="8" t="n"/>
      <c r="G5" s="8" t="n"/>
      <c r="H5" s="8" t="n"/>
      <c r="I5" s="8" t="n"/>
      <c r="J5" s="8" t="n"/>
      <c r="K5" s="8" t="n"/>
    </row>
    <row r="6">
      <c r="A6" s="8" t="inlineStr">
        <is>
          <t>B3</t>
        </is>
      </c>
      <c r="B6" s="8" t="n"/>
      <c r="C6" s="8" t="n"/>
      <c r="D6" s="8" t="n"/>
      <c r="E6" s="8" t="n"/>
      <c r="F6" s="8" t="n"/>
      <c r="G6" s="8" t="n"/>
      <c r="H6" s="8" t="n"/>
      <c r="I6" s="8" t="n"/>
      <c r="J6" s="8" t="n"/>
      <c r="K6" s="8" t="n"/>
    </row>
    <row r="7">
      <c r="A7" s="8" t="inlineStr">
        <is>
          <t>B4</t>
        </is>
      </c>
      <c r="B7" s="8" t="n"/>
      <c r="C7" s="8" t="n"/>
      <c r="D7" s="8" t="n"/>
      <c r="E7" s="8" t="n"/>
      <c r="F7" s="8" t="n"/>
      <c r="G7" s="8" t="n"/>
      <c r="H7" s="8" t="n"/>
      <c r="I7" s="8" t="n"/>
      <c r="J7" s="8" t="n"/>
      <c r="K7" s="8" t="n"/>
    </row>
    <row r="8">
      <c r="A8" s="8" t="inlineStr">
        <is>
          <t>B5</t>
        </is>
      </c>
      <c r="B8" s="8" t="n"/>
      <c r="C8" s="8" t="n"/>
      <c r="D8" s="8" t="n"/>
      <c r="E8" s="8" t="n"/>
      <c r="F8" s="8" t="n"/>
      <c r="G8" s="8" t="n"/>
      <c r="H8" s="8" t="n"/>
      <c r="I8" s="8" t="n"/>
      <c r="J8" s="8" t="n"/>
      <c r="K8" s="8" t="n"/>
    </row>
    <row r="9">
      <c r="A9" s="8" t="inlineStr">
        <is>
          <t>B6</t>
        </is>
      </c>
      <c r="B9" s="8" t="n"/>
      <c r="C9" s="8" t="n"/>
      <c r="D9" s="8" t="n"/>
      <c r="E9" s="8" t="n"/>
      <c r="F9" s="8" t="n"/>
      <c r="G9" s="8" t="n"/>
      <c r="H9" s="8" t="n"/>
      <c r="I9" s="8" t="n"/>
      <c r="J9" s="8" t="n"/>
      <c r="K9" s="8" t="n"/>
    </row>
    <row r="10">
      <c r="A10" s="8" t="inlineStr">
        <is>
          <t>B7</t>
        </is>
      </c>
      <c r="B10" s="8" t="n"/>
      <c r="C10" s="8" t="n"/>
      <c r="D10" s="8" t="n"/>
      <c r="E10" s="8" t="n"/>
      <c r="F10" s="8" t="n"/>
      <c r="G10" s="8" t="n"/>
      <c r="H10" s="8" t="n"/>
      <c r="I10" s="8" t="n"/>
      <c r="J10" s="8" t="n"/>
      <c r="K10" s="8" t="n"/>
    </row>
    <row r="11">
      <c r="A11" s="8" t="inlineStr">
        <is>
          <t>B8</t>
        </is>
      </c>
      <c r="B11" s="8" t="n"/>
      <c r="C11" s="8" t="n"/>
      <c r="D11" s="8" t="n"/>
      <c r="E11" s="8" t="n"/>
      <c r="F11" s="8" t="n"/>
      <c r="G11" s="8" t="n"/>
      <c r="H11" s="8" t="n"/>
      <c r="I11" s="8" t="n"/>
      <c r="J11" s="8" t="n"/>
      <c r="K11" s="8" t="n"/>
    </row>
    <row r="12">
      <c r="A12" s="8" t="inlineStr">
        <is>
          <t>B9</t>
        </is>
      </c>
      <c r="B12" s="8" t="n"/>
      <c r="C12" s="8" t="n"/>
      <c r="D12" s="8" t="n"/>
      <c r="E12" s="8" t="n"/>
      <c r="F12" s="8" t="n"/>
      <c r="G12" s="8" t="n"/>
      <c r="H12" s="8" t="n"/>
      <c r="I12" s="8" t="n"/>
      <c r="J12" s="8" t="n"/>
      <c r="K12" s="8" t="n"/>
    </row>
    <row r="13">
      <c r="A13" s="8" t="inlineStr">
        <is>
          <t>B10</t>
        </is>
      </c>
      <c r="B13" s="8" t="n"/>
      <c r="C13" s="8" t="n"/>
      <c r="D13" s="8" t="n"/>
      <c r="E13" s="8" t="n"/>
      <c r="F13" s="8" t="n"/>
      <c r="G13" s="8" t="n"/>
      <c r="H13" s="8" t="n"/>
      <c r="I13" s="8" t="n"/>
      <c r="J13" s="8" t="n"/>
      <c r="K13" s="8" t="n"/>
    </row>
    <row r="16">
      <c r="A16" s="9" t="inlineStr">
        <is>
          <t>BENEFITS SUMMARY</t>
        </is>
      </c>
    </row>
    <row r="17">
      <c r="A17" s="4" t="inlineStr">
        <is>
          <t>Total Projected Benefits (Year 1):</t>
        </is>
      </c>
      <c r="C17" s="15">
        <f>SUM(G4:G13)</f>
        <v/>
      </c>
    </row>
    <row r="18">
      <c r="A18" s="4" t="inlineStr">
        <is>
          <t>Total Projected Benefits (Year 2):</t>
        </is>
      </c>
      <c r="C18" s="15">
        <f>SUM(H4:H13)</f>
        <v/>
      </c>
    </row>
    <row r="19">
      <c r="A19" s="4" t="inlineStr">
        <is>
          <t>Total Projected Benefits (Year 3):</t>
        </is>
      </c>
      <c r="C19" s="15">
        <f>SUM(I4:I13)</f>
        <v/>
      </c>
    </row>
    <row r="20">
      <c r="A20" s="4" t="inlineStr">
        <is>
          <t>Total 3-Year Benefits:</t>
        </is>
      </c>
      <c r="C20" s="15">
        <f>SUM(C17:C19)</f>
        <v/>
      </c>
    </row>
    <row r="21">
      <c r="A21" s="4" t="inlineStr">
        <is>
          <t>Benefits Realization Rate:</t>
        </is>
      </c>
      <c r="C21" s="15" t="n"/>
    </row>
  </sheetData>
  <mergeCells count="2">
    <mergeCell ref="A16:K16"/>
    <mergeCell ref="A1:K1"/>
  </mergeCells>
  <dataValidations count="2">
    <dataValidation sqref="C4 C5 C6 C7 C8 C9 C10 C11 C12 C13" showDropDown="0" showInputMessage="0" showErrorMessage="0" allowBlank="1" type="list">
      <formula1>"Revenue,Cost Savings,Productivity,Quality,Risk Mitigation,Strategic"</formula1>
    </dataValidation>
    <dataValidation sqref="K4 K5 K6 K7 K8 K9 K10 K11 K12 K13" showDropDown="0" showInputMessage="0" showErrorMessage="0" allowBlank="1" type="list">
      <formula1>"Not Started,Baseline Established,Tracking,Partially Realized,Fully Realized,Not Achieved"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40" customWidth="1" min="6" max="6"/>
  </cols>
  <sheetData>
    <row r="1">
      <c r="A1" s="6" t="inlineStr">
        <is>
          <t>COST ESTIMATION WORKSHEET</t>
        </is>
      </c>
    </row>
    <row r="3">
      <c r="A3" s="7" t="inlineStr">
        <is>
          <t>CAPITAL COSTS (ONE-TIME)</t>
        </is>
      </c>
    </row>
    <row r="4">
      <c r="A4" s="16" t="inlineStr">
        <is>
          <t>Cost Category</t>
        </is>
      </c>
      <c r="B4" s="16" t="inlineStr">
        <is>
          <t>Low Estimate</t>
        </is>
      </c>
      <c r="C4" s="16" t="inlineStr">
        <is>
          <t>Expected</t>
        </is>
      </c>
      <c r="D4" s="16" t="inlineStr">
        <is>
          <t>High Estimate</t>
        </is>
      </c>
      <c r="E4" s="16" t="inlineStr">
        <is>
          <t>Notes</t>
        </is>
      </c>
    </row>
    <row r="5">
      <c r="A5" s="17" t="inlineStr">
        <is>
          <t>Hardware</t>
        </is>
      </c>
      <c r="B5" s="8" t="n"/>
      <c r="C5" s="8" t="n"/>
      <c r="D5" s="8" t="n"/>
      <c r="E5" s="8" t="n"/>
    </row>
    <row r="6">
      <c r="A6" s="17" t="inlineStr">
        <is>
          <t>Software Licenses</t>
        </is>
      </c>
      <c r="B6" s="8" t="n"/>
      <c r="C6" s="8" t="n"/>
      <c r="D6" s="8" t="n"/>
      <c r="E6" s="8" t="n"/>
    </row>
    <row r="7">
      <c r="A7" s="17" t="inlineStr">
        <is>
          <t>Implementation Services (External)</t>
        </is>
      </c>
      <c r="B7" s="8" t="n"/>
      <c r="C7" s="8" t="n"/>
      <c r="D7" s="8" t="n"/>
      <c r="E7" s="8" t="n"/>
    </row>
    <row r="8">
      <c r="A8" s="17" t="inlineStr">
        <is>
          <t>Internal Project Team Costs</t>
        </is>
      </c>
      <c r="B8" s="8" t="n"/>
      <c r="C8" s="8" t="n"/>
      <c r="D8" s="8" t="n"/>
      <c r="E8" s="8" t="n"/>
    </row>
    <row r="9">
      <c r="A9" s="17" t="inlineStr">
        <is>
          <t>Data Migration</t>
        </is>
      </c>
      <c r="B9" s="8" t="n"/>
      <c r="C9" s="8" t="n"/>
      <c r="D9" s="8" t="n"/>
      <c r="E9" s="8" t="n"/>
    </row>
    <row r="10">
      <c r="A10" s="17" t="inlineStr">
        <is>
          <t>Testing</t>
        </is>
      </c>
      <c r="B10" s="8" t="n"/>
      <c r="C10" s="8" t="n"/>
      <c r="D10" s="8" t="n"/>
      <c r="E10" s="8" t="n"/>
    </row>
    <row r="11">
      <c r="A11" s="17" t="inlineStr">
        <is>
          <t>Training Development</t>
        </is>
      </c>
      <c r="B11" s="8" t="n"/>
      <c r="C11" s="8" t="n"/>
      <c r="D11" s="8" t="n"/>
      <c r="E11" s="8" t="n"/>
    </row>
    <row r="12">
      <c r="A12" s="17" t="inlineStr">
        <is>
          <t>Change Management</t>
        </is>
      </c>
      <c r="B12" s="8" t="n"/>
      <c r="C12" s="8" t="n"/>
      <c r="D12" s="8" t="n"/>
      <c r="E12" s="8" t="n"/>
    </row>
    <row r="13">
      <c r="A13" s="17" t="inlineStr">
        <is>
          <t>Contingency (15-20%)</t>
        </is>
      </c>
      <c r="B13" s="8" t="n"/>
      <c r="C13" s="8" t="n"/>
      <c r="D13" s="8" t="n"/>
      <c r="E13" s="8" t="n"/>
    </row>
    <row r="14">
      <c r="A14" s="14" t="inlineStr">
        <is>
          <t>TOTAL CAPITAL COSTS</t>
        </is>
      </c>
      <c r="B14" s="15">
        <f>SUM(B5:B13)</f>
        <v/>
      </c>
      <c r="C14" s="15">
        <f>SUM(C5:C13)</f>
        <v/>
      </c>
      <c r="D14" s="15">
        <f>SUM(D5:D13)</f>
        <v/>
      </c>
    </row>
    <row r="16">
      <c r="A16" s="7" t="inlineStr">
        <is>
          <t>ANNUAL OPERATING COSTS (RECURRING)</t>
        </is>
      </c>
    </row>
    <row r="17">
      <c r="A17" s="16" t="inlineStr">
        <is>
          <t>Cost Category</t>
        </is>
      </c>
      <c r="B17" s="16" t="inlineStr">
        <is>
          <t>Low Estimate</t>
        </is>
      </c>
      <c r="C17" s="16" t="inlineStr">
        <is>
          <t>Expected</t>
        </is>
      </c>
      <c r="D17" s="16" t="inlineStr">
        <is>
          <t>High Estimate</t>
        </is>
      </c>
      <c r="E17" s="16" t="inlineStr">
        <is>
          <t>Notes</t>
        </is>
      </c>
    </row>
    <row r="18">
      <c r="A18" s="17" t="inlineStr">
        <is>
          <t>Support &amp; Maintenance (18-22% of licenses)</t>
        </is>
      </c>
      <c r="B18" s="8" t="n"/>
      <c r="C18" s="8" t="n"/>
      <c r="D18" s="8" t="n"/>
      <c r="E18" s="8" t="n"/>
    </row>
    <row r="19">
      <c r="A19" s="17" t="inlineStr">
        <is>
          <t>Cloud/Infrastructure Hosting</t>
        </is>
      </c>
      <c r="B19" s="8" t="n"/>
      <c r="C19" s="8" t="n"/>
      <c r="D19" s="8" t="n"/>
      <c r="E19" s="8" t="n"/>
    </row>
    <row r="20">
      <c r="A20" s="17" t="inlineStr">
        <is>
          <t>License Renewals/SaaS Subscriptions</t>
        </is>
      </c>
      <c r="B20" s="8" t="n"/>
      <c r="C20" s="8" t="n"/>
      <c r="D20" s="8" t="n"/>
      <c r="E20" s="8" t="n"/>
    </row>
    <row r="21">
      <c r="A21" s="17" t="inlineStr">
        <is>
          <t>Internal Support Staff</t>
        </is>
      </c>
      <c r="B21" s="8" t="n"/>
      <c r="C21" s="8" t="n"/>
      <c r="D21" s="8" t="n"/>
      <c r="E21" s="8" t="n"/>
    </row>
    <row r="22">
      <c r="A22" s="17" t="inlineStr">
        <is>
          <t>Help Desk Support</t>
        </is>
      </c>
      <c r="B22" s="8" t="n"/>
      <c r="C22" s="8" t="n"/>
      <c r="D22" s="8" t="n"/>
      <c r="E22" s="8" t="n"/>
    </row>
    <row r="23">
      <c r="A23" s="17" t="inlineStr">
        <is>
          <t>Ongoing Training</t>
        </is>
      </c>
      <c r="B23" s="8" t="n"/>
      <c r="C23" s="8" t="n"/>
      <c r="D23" s="8" t="n"/>
      <c r="E23" s="8" t="n"/>
    </row>
    <row r="24">
      <c r="A24" s="17" t="inlineStr">
        <is>
          <t>Minor Enhancements</t>
        </is>
      </c>
      <c r="B24" s="8" t="n"/>
      <c r="C24" s="8" t="n"/>
      <c r="D24" s="8" t="n"/>
      <c r="E24" s="8" t="n"/>
    </row>
    <row r="25">
      <c r="A25" s="14" t="inlineStr">
        <is>
          <t>TOTAL ANNUAL OPERATING COSTS</t>
        </is>
      </c>
      <c r="B25" s="15">
        <f>SUM(B18:B24)</f>
        <v/>
      </c>
      <c r="C25" s="15">
        <f>SUM(C18:C24)</f>
        <v/>
      </c>
      <c r="D25" s="15">
        <f>SUM(D18:D24)</f>
        <v/>
      </c>
    </row>
    <row r="27">
      <c r="A27" s="7" t="inlineStr">
        <is>
          <t>TOTAL COST OF OWNERSHIP (3-YEAR)</t>
        </is>
      </c>
    </row>
    <row r="28">
      <c r="A28" s="14" t="inlineStr">
        <is>
          <t>Capital Costs:</t>
        </is>
      </c>
      <c r="B28" s="15" t="n"/>
    </row>
    <row r="29">
      <c r="A29" s="14" t="inlineStr">
        <is>
          <t>Year 1 Operating:</t>
        </is>
      </c>
      <c r="B29" s="15" t="n"/>
    </row>
    <row r="30">
      <c r="A30" s="14" t="inlineStr">
        <is>
          <t>Year 2 Operating:</t>
        </is>
      </c>
      <c r="B30" s="15" t="n"/>
    </row>
    <row r="31">
      <c r="A31" s="14" t="inlineStr">
        <is>
          <t>Year 3 Operating:</t>
        </is>
      </c>
      <c r="B31" s="15" t="n"/>
    </row>
    <row r="32">
      <c r="A32" s="14" t="inlineStr">
        <is>
          <t>TOTAL 3-YEAR TCO:</t>
        </is>
      </c>
      <c r="B32" s="15" t="n"/>
    </row>
  </sheetData>
  <mergeCells count="4">
    <mergeCell ref="A3:F3"/>
    <mergeCell ref="A16:F16"/>
    <mergeCell ref="A1:F1"/>
    <mergeCell ref="A27:F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8" customWidth="1" min="1" max="1"/>
    <col width="15" customWidth="1" min="2" max="2"/>
    <col width="30" customWidth="1" min="3" max="3"/>
    <col width="12" customWidth="1" min="4" max="4"/>
    <col width="12" customWidth="1" min="5" max="5"/>
    <col width="12" customWidth="1" min="6" max="6"/>
    <col width="30" customWidth="1" min="7" max="7"/>
    <col width="20" customWidth="1" min="8" max="8"/>
    <col width="15" customWidth="1" min="9" max="9"/>
  </cols>
  <sheetData>
    <row r="1">
      <c r="A1" s="6" t="inlineStr">
        <is>
          <t>RISK ASSESSMENT REGISTER</t>
        </is>
      </c>
    </row>
    <row r="3">
      <c r="A3" s="4" t="inlineStr">
        <is>
          <t>RISK MATRIX:</t>
        </is>
      </c>
      <c r="B3" t="inlineStr">
        <is>
          <t>Probability: 1=Rare, 2=Unlikely, 3=Possible, 4=Likely, 5=Almost Certain</t>
        </is>
      </c>
    </row>
    <row r="4">
      <c r="B4" t="inlineStr">
        <is>
          <t>Impact: 1=Negligible, 2=Minor, 3=Moderate, 4=Major, 5=Severe</t>
        </is>
      </c>
    </row>
    <row r="5">
      <c r="B5" t="inlineStr">
        <is>
          <t>Risk Score = Probability × Impact (1-6=Low, 7-14=Medium, 15-25=High)</t>
        </is>
      </c>
    </row>
    <row r="7" ht="35" customHeight="1">
      <c r="A7" s="18" t="inlineStr">
        <is>
          <t>ID</t>
        </is>
      </c>
      <c r="B7" s="18" t="inlineStr">
        <is>
          <t>Risk Category</t>
        </is>
      </c>
      <c r="C7" s="18" t="inlineStr">
        <is>
          <t>Risk Description</t>
        </is>
      </c>
      <c r="D7" s="18" t="inlineStr">
        <is>
          <t>Probability
(1-5)</t>
        </is>
      </c>
      <c r="E7" s="18" t="inlineStr">
        <is>
          <t>Impact
(1-5)</t>
        </is>
      </c>
      <c r="F7" s="18" t="inlineStr">
        <is>
          <t>Risk Score</t>
        </is>
      </c>
      <c r="G7" s="18" t="inlineStr">
        <is>
          <t>Mitigation Strategy</t>
        </is>
      </c>
      <c r="H7" s="18" t="inlineStr">
        <is>
          <t>Owner</t>
        </is>
      </c>
      <c r="I7" s="18" t="inlineStr">
        <is>
          <t>Status</t>
        </is>
      </c>
    </row>
    <row r="8">
      <c r="A8" s="8" t="inlineStr">
        <is>
          <t>R1</t>
        </is>
      </c>
      <c r="B8" s="8" t="n"/>
      <c r="C8" s="12" t="n"/>
      <c r="D8" s="8" t="n"/>
      <c r="E8" s="8" t="n"/>
      <c r="F8" s="15">
        <f>D8*E8</f>
        <v/>
      </c>
      <c r="G8" s="12" t="n"/>
      <c r="H8" s="8" t="n"/>
      <c r="I8" s="8" t="n"/>
    </row>
    <row r="9">
      <c r="A9" s="8" t="inlineStr">
        <is>
          <t>R2</t>
        </is>
      </c>
      <c r="B9" s="8" t="n"/>
      <c r="C9" s="12" t="n"/>
      <c r="D9" s="8" t="n"/>
      <c r="E9" s="8" t="n"/>
      <c r="F9" s="15">
        <f>D9*E9</f>
        <v/>
      </c>
      <c r="G9" s="12" t="n"/>
      <c r="H9" s="8" t="n"/>
      <c r="I9" s="8" t="n"/>
    </row>
    <row r="10">
      <c r="A10" s="8" t="inlineStr">
        <is>
          <t>R3</t>
        </is>
      </c>
      <c r="B10" s="8" t="n"/>
      <c r="C10" s="12" t="n"/>
      <c r="D10" s="8" t="n"/>
      <c r="E10" s="8" t="n"/>
      <c r="F10" s="15">
        <f>D10*E10</f>
        <v/>
      </c>
      <c r="G10" s="12" t="n"/>
      <c r="H10" s="8" t="n"/>
      <c r="I10" s="8" t="n"/>
    </row>
    <row r="11">
      <c r="A11" s="8" t="inlineStr">
        <is>
          <t>R4</t>
        </is>
      </c>
      <c r="B11" s="8" t="n"/>
      <c r="C11" s="12" t="n"/>
      <c r="D11" s="8" t="n"/>
      <c r="E11" s="8" t="n"/>
      <c r="F11" s="15">
        <f>D11*E11</f>
        <v/>
      </c>
      <c r="G11" s="12" t="n"/>
      <c r="H11" s="8" t="n"/>
      <c r="I11" s="8" t="n"/>
    </row>
    <row r="12">
      <c r="A12" s="8" t="inlineStr">
        <is>
          <t>R5</t>
        </is>
      </c>
      <c r="B12" s="8" t="n"/>
      <c r="C12" s="12" t="n"/>
      <c r="D12" s="8" t="n"/>
      <c r="E12" s="8" t="n"/>
      <c r="F12" s="15">
        <f>D12*E12</f>
        <v/>
      </c>
      <c r="G12" s="12" t="n"/>
      <c r="H12" s="8" t="n"/>
      <c r="I12" s="8" t="n"/>
    </row>
    <row r="13">
      <c r="A13" s="8" t="inlineStr">
        <is>
          <t>R6</t>
        </is>
      </c>
      <c r="B13" s="8" t="n"/>
      <c r="C13" s="12" t="n"/>
      <c r="D13" s="8" t="n"/>
      <c r="E13" s="8" t="n"/>
      <c r="F13" s="15">
        <f>D13*E13</f>
        <v/>
      </c>
      <c r="G13" s="12" t="n"/>
      <c r="H13" s="8" t="n"/>
      <c r="I13" s="8" t="n"/>
    </row>
    <row r="14">
      <c r="A14" s="8" t="inlineStr">
        <is>
          <t>R7</t>
        </is>
      </c>
      <c r="B14" s="8" t="n"/>
      <c r="C14" s="12" t="n"/>
      <c r="D14" s="8" t="n"/>
      <c r="E14" s="8" t="n"/>
      <c r="F14" s="15">
        <f>D14*E14</f>
        <v/>
      </c>
      <c r="G14" s="12" t="n"/>
      <c r="H14" s="8" t="n"/>
      <c r="I14" s="8" t="n"/>
    </row>
    <row r="15">
      <c r="A15" s="8" t="inlineStr">
        <is>
          <t>R8</t>
        </is>
      </c>
      <c r="B15" s="8" t="n"/>
      <c r="C15" s="12" t="n"/>
      <c r="D15" s="8" t="n"/>
      <c r="E15" s="8" t="n"/>
      <c r="F15" s="15">
        <f>D15*E15</f>
        <v/>
      </c>
      <c r="G15" s="12" t="n"/>
      <c r="H15" s="8" t="n"/>
      <c r="I15" s="8" t="n"/>
    </row>
    <row r="16">
      <c r="A16" s="8" t="inlineStr">
        <is>
          <t>R9</t>
        </is>
      </c>
      <c r="B16" s="8" t="n"/>
      <c r="C16" s="12" t="n"/>
      <c r="D16" s="8" t="n"/>
      <c r="E16" s="8" t="n"/>
      <c r="F16" s="15">
        <f>D16*E16</f>
        <v/>
      </c>
      <c r="G16" s="12" t="n"/>
      <c r="H16" s="8" t="n"/>
      <c r="I16" s="8" t="n"/>
    </row>
    <row r="17">
      <c r="A17" s="8" t="inlineStr">
        <is>
          <t>R10</t>
        </is>
      </c>
      <c r="B17" s="8" t="n"/>
      <c r="C17" s="12" t="n"/>
      <c r="D17" s="8" t="n"/>
      <c r="E17" s="8" t="n"/>
      <c r="F17" s="15">
        <f>D17*E17</f>
        <v/>
      </c>
      <c r="G17" s="12" t="n"/>
      <c r="H17" s="8" t="n"/>
      <c r="I17" s="8" t="n"/>
    </row>
    <row r="18">
      <c r="A18" s="8" t="inlineStr">
        <is>
          <t>R11</t>
        </is>
      </c>
      <c r="B18" s="8" t="n"/>
      <c r="C18" s="12" t="n"/>
      <c r="D18" s="8" t="n"/>
      <c r="E18" s="8" t="n"/>
      <c r="F18" s="15">
        <f>D18*E18</f>
        <v/>
      </c>
      <c r="G18" s="12" t="n"/>
      <c r="H18" s="8" t="n"/>
      <c r="I18" s="8" t="n"/>
    </row>
    <row r="19">
      <c r="A19" s="8" t="inlineStr">
        <is>
          <t>R12</t>
        </is>
      </c>
      <c r="B19" s="8" t="n"/>
      <c r="C19" s="12" t="n"/>
      <c r="D19" s="8" t="n"/>
      <c r="E19" s="8" t="n"/>
      <c r="F19" s="15">
        <f>D19*E19</f>
        <v/>
      </c>
      <c r="G19" s="12" t="n"/>
      <c r="H19" s="8" t="n"/>
      <c r="I19" s="8" t="n"/>
    </row>
    <row r="20">
      <c r="A20" s="8" t="inlineStr">
        <is>
          <t>R13</t>
        </is>
      </c>
      <c r="B20" s="8" t="n"/>
      <c r="C20" s="12" t="n"/>
      <c r="D20" s="8" t="n"/>
      <c r="E20" s="8" t="n"/>
      <c r="F20" s="15">
        <f>D20*E20</f>
        <v/>
      </c>
      <c r="G20" s="12" t="n"/>
      <c r="H20" s="8" t="n"/>
      <c r="I20" s="8" t="n"/>
    </row>
    <row r="21">
      <c r="A21" s="8" t="inlineStr">
        <is>
          <t>R14</t>
        </is>
      </c>
      <c r="B21" s="8" t="n"/>
      <c r="C21" s="12" t="n"/>
      <c r="D21" s="8" t="n"/>
      <c r="E21" s="8" t="n"/>
      <c r="F21" s="15">
        <f>D21*E21</f>
        <v/>
      </c>
      <c r="G21" s="12" t="n"/>
      <c r="H21" s="8" t="n"/>
      <c r="I21" s="8" t="n"/>
    </row>
    <row r="22">
      <c r="A22" s="8" t="inlineStr">
        <is>
          <t>R15</t>
        </is>
      </c>
      <c r="B22" s="8" t="n"/>
      <c r="C22" s="12" t="n"/>
      <c r="D22" s="8" t="n"/>
      <c r="E22" s="8" t="n"/>
      <c r="F22" s="15">
        <f>D22*E22</f>
        <v/>
      </c>
      <c r="G22" s="12" t="n"/>
      <c r="H22" s="8" t="n"/>
      <c r="I22" s="8" t="n"/>
    </row>
    <row r="25">
      <c r="A25" s="9" t="inlineStr">
        <is>
          <t>RISK SUMMARY</t>
        </is>
      </c>
    </row>
    <row r="26">
      <c r="A26" t="inlineStr">
        <is>
          <t>Total Risks:</t>
        </is>
      </c>
      <c r="B26" s="19">
        <f>COUNTA(C8:C22)</f>
        <v/>
      </c>
    </row>
    <row r="27">
      <c r="A27" t="inlineStr">
        <is>
          <t>High Risks (15+):</t>
        </is>
      </c>
      <c r="B27" s="19">
        <f>COUNTIF(F8:F22,"&gt;=15")</f>
        <v/>
      </c>
    </row>
    <row r="28">
      <c r="A28" t="inlineStr">
        <is>
          <t>Medium Risks (7-14):</t>
        </is>
      </c>
      <c r="B28" s="19">
        <f>COUNTIFS(F8:F22,"&gt;=7",F8:F22,"&lt;15")</f>
        <v/>
      </c>
    </row>
    <row r="29">
      <c r="A29" t="inlineStr">
        <is>
          <t>Low Risks (1-6):</t>
        </is>
      </c>
      <c r="B29" s="19">
        <f>COUNTIFS(F8:F22,"&gt;=1",F8:F22,"&lt;7")</f>
        <v/>
      </c>
    </row>
  </sheetData>
  <mergeCells count="2">
    <mergeCell ref="A1:I1"/>
    <mergeCell ref="A25:I25"/>
  </mergeCells>
  <dataValidations count="2">
    <dataValidation sqref="B8 B9 B10 B11 B12 B13 B14 B15 B16 B17 B18 B19 B20 B21 B22" showDropDown="0" showInputMessage="0" showErrorMessage="0" allowBlank="1" type="list">
      <formula1>"Technical,Delivery,Business,Organizational,External"</formula1>
    </dataValidation>
    <dataValidation sqref="I8 I9 I10 I11 I12 I13 I14 I15 I16 I17 I18 I19 I20 I21 I22" showDropDown="0" showInputMessage="0" showErrorMessage="0" allowBlank="1" type="list">
      <formula1>"Open,Mitigating,Monitoring,Closed,Realized"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5" customWidth="1" min="1" max="1"/>
    <col width="12" customWidth="1" min="2" max="2"/>
    <col width="12" customWidth="1" min="3" max="3"/>
    <col width="50" customWidth="1" min="4" max="4"/>
  </cols>
  <sheetData>
    <row r="1">
      <c r="A1" s="6" t="inlineStr">
        <is>
          <t>INITIATIVE SCORING WORKSHEET</t>
        </is>
      </c>
    </row>
    <row r="3">
      <c r="A3" t="inlineStr">
        <is>
          <t>Initiative Name:</t>
        </is>
      </c>
      <c r="B3" s="8" t="n"/>
      <c r="C3" s="10" t="n"/>
      <c r="D3" s="11" t="n"/>
    </row>
    <row r="4">
      <c r="A4" t="inlineStr">
        <is>
          <t>Scoring Date:</t>
        </is>
      </c>
      <c r="B4" s="8" t="n"/>
    </row>
    <row r="5">
      <c r="A5" t="inlineStr">
        <is>
          <t>Scoring Committee:</t>
        </is>
      </c>
      <c r="B5" s="8" t="n"/>
      <c r="C5" s="10" t="n"/>
      <c r="D5" s="11" t="n"/>
    </row>
    <row r="7">
      <c r="A7" s="7" t="inlineStr">
        <is>
          <t>BUSINESS VALUE SCORING (40% of Total)</t>
        </is>
      </c>
    </row>
    <row r="8">
      <c r="A8" s="16" t="inlineStr">
        <is>
          <t>Criterion</t>
        </is>
      </c>
      <c r="B8" s="16" t="inlineStr">
        <is>
          <t>Weight</t>
        </is>
      </c>
      <c r="C8" s="16" t="inlineStr">
        <is>
          <t>Score (0-5)</t>
        </is>
      </c>
      <c r="D8" s="16" t="inlineStr">
        <is>
          <t>Rationale</t>
        </is>
      </c>
    </row>
    <row r="9">
      <c r="A9" s="17" t="inlineStr">
        <is>
          <t>Strategic Alignment</t>
        </is>
      </c>
      <c r="B9" s="17" t="inlineStr">
        <is>
          <t>25%</t>
        </is>
      </c>
      <c r="C9" s="8" t="n"/>
      <c r="D9" s="20" t="n"/>
    </row>
    <row r="10">
      <c r="A10" s="17" t="inlineStr">
        <is>
          <t>Financial Impact</t>
        </is>
      </c>
      <c r="B10" s="17" t="inlineStr">
        <is>
          <t>25%</t>
        </is>
      </c>
      <c r="C10" s="8" t="n"/>
      <c r="D10" s="20" t="n"/>
    </row>
    <row r="11">
      <c r="A11" s="17" t="inlineStr">
        <is>
          <t>Customer Impact</t>
        </is>
      </c>
      <c r="B11" s="17" t="inlineStr">
        <is>
          <t>20%</t>
        </is>
      </c>
      <c r="C11" s="8" t="n"/>
      <c r="D11" s="20" t="n"/>
    </row>
    <row r="12">
      <c r="A12" s="17" t="inlineStr">
        <is>
          <t>Operational Impact</t>
        </is>
      </c>
      <c r="B12" s="17" t="inlineStr">
        <is>
          <t>15%</t>
        </is>
      </c>
      <c r="C12" s="8" t="n"/>
      <c r="D12" s="20" t="n"/>
    </row>
    <row r="13">
      <c r="A13" s="17" t="inlineStr">
        <is>
          <t>Competitive Impact</t>
        </is>
      </c>
      <c r="B13" s="17" t="inlineStr">
        <is>
          <t>15%</t>
        </is>
      </c>
      <c r="C13" s="8" t="n"/>
      <c r="D13" s="20" t="n"/>
    </row>
    <row r="14">
      <c r="A14" s="14" t="inlineStr">
        <is>
          <t>BUSINESS VALUE SCORE</t>
        </is>
      </c>
      <c r="C14" s="15">
        <f>(C9*0.25+C10*0.25+C11*0.2+C12*0.15+C13*0.15)</f>
        <v/>
      </c>
    </row>
    <row r="16">
      <c r="A16" s="7" t="inlineStr">
        <is>
          <t>RISK SCORING (30% of Total) - Higher = More Risk</t>
        </is>
      </c>
    </row>
    <row r="17">
      <c r="A17" s="16" t="inlineStr">
        <is>
          <t>Criterion</t>
        </is>
      </c>
      <c r="B17" s="16" t="inlineStr">
        <is>
          <t>Weight</t>
        </is>
      </c>
      <c r="C17" s="16" t="inlineStr">
        <is>
          <t>Score (0-5)</t>
        </is>
      </c>
      <c r="D17" s="16" t="inlineStr">
        <is>
          <t>Rationale</t>
        </is>
      </c>
    </row>
    <row r="18">
      <c r="A18" s="17" t="inlineStr">
        <is>
          <t>Technical Risk</t>
        </is>
      </c>
      <c r="B18" s="17" t="inlineStr">
        <is>
          <t>25%</t>
        </is>
      </c>
      <c r="C18" s="8" t="n"/>
      <c r="D18" s="20" t="n"/>
    </row>
    <row r="19">
      <c r="A19" s="17" t="inlineStr">
        <is>
          <t>Delivery Risk</t>
        </is>
      </c>
      <c r="B19" s="17" t="inlineStr">
        <is>
          <t>25%</t>
        </is>
      </c>
      <c r="C19" s="8" t="n"/>
      <c r="D19" s="20" t="n"/>
    </row>
    <row r="20">
      <c r="A20" s="17" t="inlineStr">
        <is>
          <t>Business Risk</t>
        </is>
      </c>
      <c r="B20" s="17" t="inlineStr">
        <is>
          <t>20%</t>
        </is>
      </c>
      <c r="C20" s="8" t="n"/>
      <c r="D20" s="20" t="n"/>
    </row>
    <row r="21">
      <c r="A21" s="17" t="inlineStr">
        <is>
          <t>Organizational Risk</t>
        </is>
      </c>
      <c r="B21" s="17" t="inlineStr">
        <is>
          <t>15%</t>
        </is>
      </c>
      <c r="C21" s="8" t="n"/>
      <c r="D21" s="20" t="n"/>
    </row>
    <row r="22">
      <c r="A22" s="17" t="inlineStr">
        <is>
          <t>External Risk</t>
        </is>
      </c>
      <c r="B22" s="17" t="inlineStr">
        <is>
          <t>15%</t>
        </is>
      </c>
      <c r="C22" s="8" t="n"/>
      <c r="D22" s="20" t="n"/>
    </row>
    <row r="23">
      <c r="A23" s="14" t="inlineStr">
        <is>
          <t>RISK SCORE</t>
        </is>
      </c>
      <c r="C23" s="15">
        <f>(C18*0.25+C19*0.25+C20*0.2+C21*0.15+C22*0.15)</f>
        <v/>
      </c>
    </row>
    <row r="25">
      <c r="A25" s="7" t="inlineStr">
        <is>
          <t>COST SCORING (30% of Total) - Higher = More Costly</t>
        </is>
      </c>
    </row>
    <row r="26">
      <c r="A26" s="16" t="inlineStr">
        <is>
          <t>Criterion</t>
        </is>
      </c>
      <c r="B26" s="16" t="inlineStr">
        <is>
          <t>Weight</t>
        </is>
      </c>
      <c r="C26" s="16" t="inlineStr">
        <is>
          <t>Score (0-5)</t>
        </is>
      </c>
      <c r="D26" s="16" t="inlineStr">
        <is>
          <t>Rationale</t>
        </is>
      </c>
    </row>
    <row r="27">
      <c r="A27" s="17" t="inlineStr">
        <is>
          <t>Capital Cost</t>
        </is>
      </c>
      <c r="B27" s="17" t="inlineStr">
        <is>
          <t>30%</t>
        </is>
      </c>
      <c r="C27" s="8" t="n"/>
      <c r="D27" s="20" t="n"/>
    </row>
    <row r="28">
      <c r="A28" s="17" t="inlineStr">
        <is>
          <t>Operating Cost</t>
        </is>
      </c>
      <c r="B28" s="17" t="inlineStr">
        <is>
          <t>25%</t>
        </is>
      </c>
      <c r="C28" s="8" t="n"/>
      <c r="D28" s="20" t="n"/>
    </row>
    <row r="29">
      <c r="A29" s="17" t="inlineStr">
        <is>
          <t>Resource Cost</t>
        </is>
      </c>
      <c r="B29" s="17" t="inlineStr">
        <is>
          <t>25%</t>
        </is>
      </c>
      <c r="C29" s="8" t="n"/>
      <c r="D29" s="20" t="n"/>
    </row>
    <row r="30">
      <c r="A30" s="17" t="inlineStr">
        <is>
          <t>Total Cost of Ownership</t>
        </is>
      </c>
      <c r="B30" s="17" t="inlineStr">
        <is>
          <t>20%</t>
        </is>
      </c>
      <c r="C30" s="8" t="n"/>
      <c r="D30" s="20" t="n"/>
    </row>
    <row r="31">
      <c r="A31" s="14" t="inlineStr">
        <is>
          <t>COST SCORE</t>
        </is>
      </c>
      <c r="C31" s="15">
        <f>(C27*0.3+C28*0.25+C29*0.25+C30*0.2)</f>
        <v/>
      </c>
    </row>
    <row r="33">
      <c r="A33" s="7" t="inlineStr">
        <is>
          <t>PRIORITY CALCULATION</t>
        </is>
      </c>
    </row>
    <row r="34">
      <c r="A34" t="inlineStr">
        <is>
          <t>Business Value Score (40%):</t>
        </is>
      </c>
      <c r="B34" s="19">
        <f>C14</f>
        <v/>
      </c>
    </row>
    <row r="35">
      <c r="A35" t="inlineStr">
        <is>
          <t>Risk Score Inverted (30%):</t>
        </is>
      </c>
      <c r="B35" s="19">
        <f>5-C22</f>
        <v/>
      </c>
    </row>
    <row r="36">
      <c r="A36" t="inlineStr">
        <is>
          <t>Cost Score Inverted (30%):</t>
        </is>
      </c>
      <c r="B36" s="19">
        <f>5-C29</f>
        <v/>
      </c>
    </row>
    <row r="38">
      <c r="A38" s="21" t="inlineStr">
        <is>
          <t>FINAL PRIORITY SCORE:</t>
        </is>
      </c>
      <c r="B38" s="22">
        <f>(B32*0.4)+(B33*0.3)+(B34*0.3)</f>
        <v/>
      </c>
    </row>
    <row r="40">
      <c r="A40" s="4" t="inlineStr">
        <is>
          <t>PRIORITY CLASSIFICATION:</t>
        </is>
      </c>
      <c r="B40" s="15">
        <f>IF(B36&gt;=4,"P1 - Critical",IF(B36&gt;=3,"P2 - High",IF(B36&gt;=2,"P3 - Medium","P4 - Low")))</f>
        <v/>
      </c>
    </row>
    <row r="43">
      <c r="A43" s="23" t="inlineStr">
        <is>
          <t>SCORING GUIDE</t>
        </is>
      </c>
    </row>
    <row r="44">
      <c r="A44" t="inlineStr">
        <is>
          <t>5 = Exceptional/Critical - Highest level of alignment, impact, or risk</t>
        </is>
      </c>
    </row>
    <row r="45">
      <c r="A45" t="inlineStr">
        <is>
          <t>4 = High - Strong alignment, significant impact or risk</t>
        </is>
      </c>
    </row>
    <row r="46">
      <c r="A46" t="inlineStr">
        <is>
          <t>3 = Moderate - Adequate alignment, noticeable impact or risk</t>
        </is>
      </c>
    </row>
    <row r="47">
      <c r="A47" t="inlineStr">
        <is>
          <t>2 = Low - Limited alignment, minor impact or risk</t>
        </is>
      </c>
    </row>
    <row r="48">
      <c r="A48" t="inlineStr">
        <is>
          <t>1 = Minimal - Negligible alignment, impact, or risk</t>
        </is>
      </c>
    </row>
    <row r="49">
      <c r="A49" t="inlineStr">
        <is>
          <t>0 = None - No alignment, impact, or risk</t>
        </is>
      </c>
    </row>
  </sheetData>
  <mergeCells count="14">
    <mergeCell ref="A1:D1"/>
    <mergeCell ref="A45:D45"/>
    <mergeCell ref="B3:D3"/>
    <mergeCell ref="B5:D5"/>
    <mergeCell ref="A48:D48"/>
    <mergeCell ref="A7:D7"/>
    <mergeCell ref="A25:D25"/>
    <mergeCell ref="A43:D43"/>
    <mergeCell ref="A16:D16"/>
    <mergeCell ref="A33:D33"/>
    <mergeCell ref="A47:D47"/>
    <mergeCell ref="A46:D46"/>
    <mergeCell ref="A49:D49"/>
    <mergeCell ref="A44:D4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 width="15" customWidth="1" min="7" max="7"/>
    <col width="25" customWidth="1" min="8" max="8"/>
  </cols>
  <sheetData>
    <row r="1">
      <c r="A1" s="24" t="inlineStr">
        <is>
          <t>IT PORTFOLIO DASHBOARD</t>
        </is>
      </c>
    </row>
    <row r="2">
      <c r="A2" s="25" t="inlineStr">
        <is>
          <t>Reporting Period: [Month/Quarter Year]</t>
        </is>
      </c>
    </row>
    <row r="4">
      <c r="A4" s="7" t="inlineStr">
        <is>
          <t>KEY PORTFOLIO METRICS</t>
        </is>
      </c>
    </row>
    <row r="5">
      <c r="A5" s="16" t="inlineStr">
        <is>
          <t>Metric</t>
        </is>
      </c>
      <c r="B5" s="16" t="inlineStr">
        <is>
          <t>Current</t>
        </is>
      </c>
      <c r="C5" s="16" t="inlineStr">
        <is>
          <t>Target</t>
        </is>
      </c>
      <c r="D5" s="16" t="inlineStr">
        <is>
          <t>Trend</t>
        </is>
      </c>
      <c r="E5" s="16" t="inlineStr">
        <is>
          <t>Status</t>
        </is>
      </c>
    </row>
    <row r="6">
      <c r="A6" s="17" t="inlineStr">
        <is>
          <t>Portfolio Health Score</t>
        </is>
      </c>
      <c r="B6" s="8" t="n"/>
      <c r="C6" s="17" t="inlineStr">
        <is>
          <t>≥4.0</t>
        </is>
      </c>
      <c r="D6" s="8" t="n"/>
      <c r="E6" s="8" t="n"/>
    </row>
    <row r="7">
      <c r="A7" s="17" t="inlineStr">
        <is>
          <t>On-Time Delivery Rate</t>
        </is>
      </c>
      <c r="B7" s="8" t="n"/>
      <c r="C7" s="17" t="inlineStr">
        <is>
          <t>≥85%</t>
        </is>
      </c>
      <c r="D7" s="8" t="n"/>
      <c r="E7" s="8" t="n"/>
    </row>
    <row r="8">
      <c r="A8" s="17" t="inlineStr">
        <is>
          <t>On-Budget Delivery Rate</t>
        </is>
      </c>
      <c r="B8" s="8" t="n"/>
      <c r="C8" s="17" t="inlineStr">
        <is>
          <t>≥90%</t>
        </is>
      </c>
      <c r="D8" s="8" t="n"/>
      <c r="E8" s="8" t="n"/>
    </row>
    <row r="9">
      <c r="A9" s="17" t="inlineStr">
        <is>
          <t>Benefits Realization Rate</t>
        </is>
      </c>
      <c r="B9" s="8" t="n"/>
      <c r="C9" s="17" t="inlineStr">
        <is>
          <t>≥85%</t>
        </is>
      </c>
      <c r="D9" s="8" t="n"/>
      <c r="E9" s="8" t="n"/>
    </row>
    <row r="10">
      <c r="A10" s="17" t="inlineStr">
        <is>
          <t>Resource Utilization</t>
        </is>
      </c>
      <c r="B10" s="8" t="n"/>
      <c r="C10" s="17" t="inlineStr">
        <is>
          <t>80-85%</t>
        </is>
      </c>
      <c r="D10" s="8" t="n"/>
      <c r="E10" s="8" t="n"/>
    </row>
    <row r="11">
      <c r="A11" s="17" t="inlineStr">
        <is>
          <t>Strategic Alignment</t>
        </is>
      </c>
      <c r="B11" s="8" t="n"/>
      <c r="C11" s="17" t="inlineStr">
        <is>
          <t>≥80%</t>
        </is>
      </c>
      <c r="D11" s="8" t="n"/>
      <c r="E11" s="8" t="n"/>
    </row>
    <row r="13">
      <c r="A13" s="7" t="inlineStr">
        <is>
          <t>PORTFOLIO COMPOSITION BY INVESTMENT CATEGORY</t>
        </is>
      </c>
    </row>
    <row r="14">
      <c r="A14" s="16" t="inlineStr">
        <is>
          <t>Category</t>
        </is>
      </c>
      <c r="B14" s="16" t="inlineStr">
        <is>
          <t># Initiatives</t>
        </is>
      </c>
      <c r="C14" s="16" t="inlineStr">
        <is>
          <t>Investment ($)</t>
        </is>
      </c>
      <c r="D14" s="16" t="inlineStr">
        <is>
          <t>% of Total</t>
        </is>
      </c>
      <c r="E14" s="16" t="inlineStr">
        <is>
          <t>Target %</t>
        </is>
      </c>
      <c r="F14" s="16" t="inlineStr">
        <is>
          <t>Variance</t>
        </is>
      </c>
    </row>
    <row r="15">
      <c r="A15" s="17" t="inlineStr">
        <is>
          <t>Transform</t>
        </is>
      </c>
      <c r="B15" s="8" t="inlineStr"/>
      <c r="C15" s="8" t="inlineStr"/>
      <c r="D15" s="8" t="inlineStr"/>
      <c r="E15" s="17" t="inlineStr">
        <is>
          <t>15-25%</t>
        </is>
      </c>
      <c r="F15" s="8" t="inlineStr"/>
    </row>
    <row r="16">
      <c r="A16" s="17" t="inlineStr">
        <is>
          <t>Grow</t>
        </is>
      </c>
      <c r="B16" s="8" t="inlineStr"/>
      <c r="C16" s="8" t="inlineStr"/>
      <c r="D16" s="8" t="inlineStr"/>
      <c r="E16" s="17" t="inlineStr">
        <is>
          <t>20-30%</t>
        </is>
      </c>
      <c r="F16" s="8" t="inlineStr"/>
    </row>
    <row r="17">
      <c r="A17" s="17" t="inlineStr">
        <is>
          <t>Run</t>
        </is>
      </c>
      <c r="B17" s="8" t="inlineStr"/>
      <c r="C17" s="8" t="inlineStr"/>
      <c r="D17" s="8" t="inlineStr"/>
      <c r="E17" s="17" t="inlineStr">
        <is>
          <t>40-50%</t>
        </is>
      </c>
      <c r="F17" s="8" t="inlineStr"/>
    </row>
    <row r="18">
      <c r="A18" s="17" t="inlineStr">
        <is>
          <t>Comply/Secure</t>
        </is>
      </c>
      <c r="B18" s="8" t="inlineStr"/>
      <c r="C18" s="8" t="inlineStr"/>
      <c r="D18" s="8" t="inlineStr"/>
      <c r="E18" s="17" t="inlineStr">
        <is>
          <t>10-15%</t>
        </is>
      </c>
      <c r="F18" s="8" t="inlineStr"/>
    </row>
    <row r="19">
      <c r="A19" s="14" t="inlineStr">
        <is>
          <t>TOTAL</t>
        </is>
      </c>
      <c r="B19" s="17" t="inlineStr"/>
      <c r="C19" s="17" t="inlineStr"/>
      <c r="D19" s="17" t="inlineStr">
        <is>
          <t>100%</t>
        </is>
      </c>
      <c r="E19" s="17" t="inlineStr">
        <is>
          <t>100%</t>
        </is>
      </c>
      <c r="F19" s="17" t="inlineStr"/>
    </row>
    <row r="21">
      <c r="A21" s="7" t="inlineStr">
        <is>
          <t>PORTFOLIO STATUS SUMMARY</t>
        </is>
      </c>
    </row>
    <row r="22">
      <c r="A22" s="16" t="inlineStr">
        <is>
          <t>Status</t>
        </is>
      </c>
      <c r="B22" s="16" t="inlineStr">
        <is>
          <t># Initiatives</t>
        </is>
      </c>
      <c r="C22" s="16" t="inlineStr">
        <is>
          <t>Total Investment</t>
        </is>
      </c>
      <c r="D22" s="16" t="inlineStr">
        <is>
          <t>Avg Health Score</t>
        </is>
      </c>
    </row>
    <row r="23">
      <c r="A23" s="17" t="inlineStr">
        <is>
          <t>Proposed</t>
        </is>
      </c>
      <c r="B23" s="8" t="n"/>
      <c r="C23" s="8" t="n"/>
      <c r="D23" s="8" t="n"/>
    </row>
    <row r="24">
      <c r="A24" s="17" t="inlineStr">
        <is>
          <t>In Planning</t>
        </is>
      </c>
      <c r="B24" s="8" t="n"/>
      <c r="C24" s="8" t="n"/>
      <c r="D24" s="8" t="n"/>
    </row>
    <row r="25">
      <c r="A25" s="17" t="inlineStr">
        <is>
          <t>In Execution</t>
        </is>
      </c>
      <c r="B25" s="8" t="n"/>
      <c r="C25" s="8" t="n"/>
      <c r="D25" s="8" t="n"/>
    </row>
    <row r="26">
      <c r="A26" s="17" t="inlineStr">
        <is>
          <t>In Closure</t>
        </is>
      </c>
      <c r="B26" s="8" t="n"/>
      <c r="C26" s="8" t="n"/>
      <c r="D26" s="8" t="n"/>
    </row>
    <row r="27">
      <c r="A27" s="17" t="inlineStr">
        <is>
          <t>On Hold</t>
        </is>
      </c>
      <c r="B27" s="8" t="n"/>
      <c r="C27" s="8" t="n"/>
      <c r="D27" s="8" t="n"/>
    </row>
    <row r="28">
      <c r="A28" s="14" t="inlineStr">
        <is>
          <t>TOTAL</t>
        </is>
      </c>
      <c r="B28" s="15" t="n"/>
      <c r="C28" s="15" t="n"/>
      <c r="D28" s="15" t="n"/>
    </row>
    <row r="30">
      <c r="A30" s="7" t="inlineStr">
        <is>
          <t>TOP 10 INITIATIVES BY INVESTMENT</t>
        </is>
      </c>
    </row>
    <row r="31">
      <c r="A31" s="26" t="inlineStr">
        <is>
          <t>Rank</t>
        </is>
      </c>
      <c r="B31" s="26" t="inlineStr">
        <is>
          <t>Initiative Name</t>
        </is>
      </c>
      <c r="C31" s="26" t="inlineStr">
        <is>
          <t>Category</t>
        </is>
      </c>
      <c r="D31" s="26" t="inlineStr">
        <is>
          <t>Investment</t>
        </is>
      </c>
      <c r="E31" s="26" t="inlineStr">
        <is>
          <t>Status</t>
        </is>
      </c>
      <c r="F31" s="26" t="inlineStr">
        <is>
          <t>Health</t>
        </is>
      </c>
      <c r="G31" s="26" t="inlineStr">
        <is>
          <t>Expected Completion</t>
        </is>
      </c>
      <c r="H31" s="26" t="inlineStr">
        <is>
          <t>Key Issues</t>
        </is>
      </c>
    </row>
    <row r="32">
      <c r="A32" s="17" t="n">
        <v>1</v>
      </c>
      <c r="B32" s="8" t="n"/>
      <c r="C32" s="8" t="n"/>
      <c r="D32" s="8" t="n"/>
      <c r="E32" s="8" t="n"/>
      <c r="F32" s="8" t="n"/>
      <c r="G32" s="8" t="n"/>
      <c r="H32" s="8" t="n"/>
    </row>
    <row r="33">
      <c r="A33" s="17" t="n">
        <v>2</v>
      </c>
      <c r="B33" s="8" t="n"/>
      <c r="C33" s="8" t="n"/>
      <c r="D33" s="8" t="n"/>
      <c r="E33" s="8" t="n"/>
      <c r="F33" s="8" t="n"/>
      <c r="G33" s="8" t="n"/>
      <c r="H33" s="8" t="n"/>
    </row>
    <row r="34">
      <c r="A34" s="17" t="n">
        <v>3</v>
      </c>
      <c r="B34" s="8" t="n"/>
      <c r="C34" s="8" t="n"/>
      <c r="D34" s="8" t="n"/>
      <c r="E34" s="8" t="n"/>
      <c r="F34" s="8" t="n"/>
      <c r="G34" s="8" t="n"/>
      <c r="H34" s="8" t="n"/>
    </row>
    <row r="35">
      <c r="A35" s="17" t="n">
        <v>4</v>
      </c>
      <c r="B35" s="8" t="n"/>
      <c r="C35" s="8" t="n"/>
      <c r="D35" s="8" t="n"/>
      <c r="E35" s="8" t="n"/>
      <c r="F35" s="8" t="n"/>
      <c r="G35" s="8" t="n"/>
      <c r="H35" s="8" t="n"/>
    </row>
    <row r="36">
      <c r="A36" s="17" t="n">
        <v>5</v>
      </c>
      <c r="B36" s="8" t="n"/>
      <c r="C36" s="8" t="n"/>
      <c r="D36" s="8" t="n"/>
      <c r="E36" s="8" t="n"/>
      <c r="F36" s="8" t="n"/>
      <c r="G36" s="8" t="n"/>
      <c r="H36" s="8" t="n"/>
    </row>
    <row r="37">
      <c r="A37" s="17" t="n">
        <v>6</v>
      </c>
      <c r="B37" s="8" t="n"/>
      <c r="C37" s="8" t="n"/>
      <c r="D37" s="8" t="n"/>
      <c r="E37" s="8" t="n"/>
      <c r="F37" s="8" t="n"/>
      <c r="G37" s="8" t="n"/>
      <c r="H37" s="8" t="n"/>
    </row>
    <row r="38">
      <c r="A38" s="17" t="n">
        <v>7</v>
      </c>
      <c r="B38" s="8" t="n"/>
      <c r="C38" s="8" t="n"/>
      <c r="D38" s="8" t="n"/>
      <c r="E38" s="8" t="n"/>
      <c r="F38" s="8" t="n"/>
      <c r="G38" s="8" t="n"/>
      <c r="H38" s="8" t="n"/>
    </row>
    <row r="39">
      <c r="A39" s="17" t="n">
        <v>8</v>
      </c>
      <c r="B39" s="8" t="n"/>
      <c r="C39" s="8" t="n"/>
      <c r="D39" s="8" t="n"/>
      <c r="E39" s="8" t="n"/>
      <c r="F39" s="8" t="n"/>
      <c r="G39" s="8" t="n"/>
      <c r="H39" s="8" t="n"/>
    </row>
    <row r="40">
      <c r="A40" s="17" t="n">
        <v>9</v>
      </c>
      <c r="B40" s="8" t="n"/>
      <c r="C40" s="8" t="n"/>
      <c r="D40" s="8" t="n"/>
      <c r="E40" s="8" t="n"/>
      <c r="F40" s="8" t="n"/>
      <c r="G40" s="8" t="n"/>
      <c r="H40" s="8" t="n"/>
    </row>
    <row r="41">
      <c r="A41" s="17" t="n">
        <v>10</v>
      </c>
      <c r="B41" s="8" t="n"/>
      <c r="C41" s="8" t="n"/>
      <c r="D41" s="8" t="n"/>
      <c r="E41" s="8" t="n"/>
      <c r="F41" s="8" t="n"/>
      <c r="G41" s="8" t="n"/>
      <c r="H41" s="8" t="n"/>
    </row>
    <row r="43">
      <c r="A43" s="27" t="inlineStr">
        <is>
          <t>AT-RISK INITIATIVES</t>
        </is>
      </c>
    </row>
    <row r="44">
      <c r="A44" s="16" t="inlineStr">
        <is>
          <t>Initiative</t>
        </is>
      </c>
      <c r="B44" s="16" t="inlineStr">
        <is>
          <t>Issue Description</t>
        </is>
      </c>
      <c r="C44" s="16" t="inlineStr">
        <is>
          <t>Impact</t>
        </is>
      </c>
      <c r="D44" s="16" t="inlineStr">
        <is>
          <t>Mitigation</t>
        </is>
      </c>
      <c r="E44" s="16" t="inlineStr">
        <is>
          <t>Owner</t>
        </is>
      </c>
      <c r="F44" s="16" t="inlineStr">
        <is>
          <t>Target Date</t>
        </is>
      </c>
    </row>
    <row r="45">
      <c r="A45" s="8" t="n"/>
      <c r="B45" s="8" t="n"/>
      <c r="C45" s="8" t="n"/>
      <c r="D45" s="8" t="n"/>
      <c r="E45" s="8" t="n"/>
      <c r="F45" s="8" t="n"/>
    </row>
    <row r="46">
      <c r="A46" s="8" t="n"/>
      <c r="B46" s="8" t="n"/>
      <c r="C46" s="8" t="n"/>
      <c r="D46" s="8" t="n"/>
      <c r="E46" s="8" t="n"/>
      <c r="F46" s="8" t="n"/>
    </row>
    <row r="47">
      <c r="A47" s="8" t="n"/>
      <c r="B47" s="8" t="n"/>
      <c r="C47" s="8" t="n"/>
      <c r="D47" s="8" t="n"/>
      <c r="E47" s="8" t="n"/>
      <c r="F47" s="8" t="n"/>
    </row>
    <row r="48">
      <c r="A48" s="8" t="n"/>
      <c r="B48" s="8" t="n"/>
      <c r="C48" s="8" t="n"/>
      <c r="D48" s="8" t="n"/>
      <c r="E48" s="8" t="n"/>
      <c r="F48" s="8" t="n"/>
    </row>
    <row r="49">
      <c r="A49" s="8" t="n"/>
      <c r="B49" s="8" t="n"/>
      <c r="C49" s="8" t="n"/>
      <c r="D49" s="8" t="n"/>
      <c r="E49" s="8" t="n"/>
      <c r="F49" s="8" t="n"/>
    </row>
    <row r="51">
      <c r="A51" s="28" t="inlineStr">
        <is>
          <t>DECISIONS REQUIRED</t>
        </is>
      </c>
    </row>
    <row r="52">
      <c r="A52" s="16" t="inlineStr">
        <is>
          <t>Decision Type</t>
        </is>
      </c>
      <c r="B52" s="16" t="inlineStr">
        <is>
          <t>Initiative</t>
        </is>
      </c>
      <c r="C52" s="16" t="inlineStr">
        <is>
          <t>Description</t>
        </is>
      </c>
      <c r="D52" s="16" t="inlineStr">
        <is>
          <t>Decision Date</t>
        </is>
      </c>
      <c r="E52" s="16" t="inlineStr">
        <is>
          <t>Owner</t>
        </is>
      </c>
      <c r="F52" s="16" t="inlineStr">
        <is>
          <t>Recommendation</t>
        </is>
      </c>
    </row>
    <row r="53">
      <c r="A53" s="8" t="n"/>
      <c r="B53" s="8" t="n"/>
      <c r="C53" s="8" t="n"/>
      <c r="D53" s="8" t="n"/>
      <c r="E53" s="8" t="n"/>
      <c r="F53" s="8" t="n"/>
    </row>
    <row r="54">
      <c r="A54" s="8" t="n"/>
      <c r="B54" s="8" t="n"/>
      <c r="C54" s="8" t="n"/>
      <c r="D54" s="8" t="n"/>
      <c r="E54" s="8" t="n"/>
      <c r="F54" s="8" t="n"/>
    </row>
    <row r="55">
      <c r="A55" s="8" t="n"/>
      <c r="B55" s="8" t="n"/>
      <c r="C55" s="8" t="n"/>
      <c r="D55" s="8" t="n"/>
      <c r="E55" s="8" t="n"/>
      <c r="F55" s="8" t="n"/>
    </row>
    <row r="56">
      <c r="A56" s="8" t="n"/>
      <c r="B56" s="8" t="n"/>
      <c r="C56" s="8" t="n"/>
      <c r="D56" s="8" t="n"/>
      <c r="E56" s="8" t="n"/>
      <c r="F56" s="8" t="n"/>
    </row>
    <row r="57">
      <c r="A57" s="8" t="n"/>
      <c r="B57" s="8" t="n"/>
      <c r="C57" s="8" t="n"/>
      <c r="D57" s="8" t="n"/>
      <c r="E57" s="8" t="n"/>
      <c r="F57" s="8" t="n"/>
    </row>
  </sheetData>
  <mergeCells count="8">
    <mergeCell ref="A4:H4"/>
    <mergeCell ref="A21:H21"/>
    <mergeCell ref="A30:H30"/>
    <mergeCell ref="A43:H43"/>
    <mergeCell ref="A2:H2"/>
    <mergeCell ref="A51:H51"/>
    <mergeCell ref="A13:H1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25" customWidth="1" min="1" max="1"/>
    <col width="15" customWidth="1" min="2" max="2"/>
    <col width="12" customWidth="1" min="3" max="3"/>
    <col width="12" customWidth="1" min="4" max="4"/>
    <col width="12" customWidth="1" min="5" max="5"/>
    <col width="12" customWidth="1" min="6" max="6"/>
    <col width="12" customWidth="1" min="7" max="7"/>
    <col width="12" customWidth="1" min="8" max="8"/>
    <col width="15" customWidth="1" min="9" max="9"/>
    <col width="15" customWidth="1" min="10" max="10"/>
  </cols>
  <sheetData>
    <row r="1">
      <c r="A1" s="6" t="inlineStr">
        <is>
          <t>RESOURCE PLANNING WORKSHEET</t>
        </is>
      </c>
    </row>
    <row r="3">
      <c r="A3" t="inlineStr">
        <is>
          <t>Initiative Name:</t>
        </is>
      </c>
      <c r="B3" s="8" t="n"/>
      <c r="C3" s="10" t="n"/>
      <c r="D3" s="11" t="n"/>
    </row>
    <row r="5">
      <c r="A5" s="7" t="inlineStr">
        <is>
          <t>RESOURCE REQUIREMENTS BY ROLE</t>
        </is>
      </c>
    </row>
    <row r="6">
      <c r="A6" s="16" t="inlineStr">
        <is>
          <t>Role</t>
        </is>
      </c>
      <c r="B6" s="16" t="inlineStr">
        <is>
          <t>Source</t>
        </is>
      </c>
      <c r="C6" s="16" t="inlineStr">
        <is>
          <t>FTE</t>
        </is>
      </c>
      <c r="D6" s="16" t="inlineStr">
        <is>
          <t>Duration</t>
        </is>
      </c>
      <c r="E6" s="16" t="inlineStr">
        <is>
          <t>Start</t>
        </is>
      </c>
      <c r="F6" s="16" t="inlineStr">
        <is>
          <t>End</t>
        </is>
      </c>
      <c r="G6" s="16" t="inlineStr">
        <is>
          <t>Hourly Rate</t>
        </is>
      </c>
      <c r="H6" s="16" t="inlineStr">
        <is>
          <t>Total Cost</t>
        </is>
      </c>
      <c r="I6" s="16" t="inlineStr">
        <is>
          <t>Skills Required</t>
        </is>
      </c>
      <c r="J6" s="16" t="inlineStr">
        <is>
          <t>Notes</t>
        </is>
      </c>
    </row>
    <row r="7">
      <c r="A7" s="17" t="inlineStr">
        <is>
          <t>Project Manager</t>
        </is>
      </c>
      <c r="B7" s="8" t="n"/>
      <c r="C7" s="8" t="n"/>
      <c r="D7" s="8" t="n"/>
      <c r="E7" s="8" t="n"/>
      <c r="F7" s="8" t="n"/>
      <c r="G7" s="8" t="n"/>
      <c r="H7" s="15">
        <f>C7*D7*G7*8</f>
        <v/>
      </c>
      <c r="I7" s="8" t="n"/>
      <c r="J7" s="8" t="n"/>
    </row>
    <row r="8">
      <c r="A8" s="17" t="inlineStr">
        <is>
          <t>Business Analyst</t>
        </is>
      </c>
      <c r="B8" s="8" t="n"/>
      <c r="C8" s="8" t="n"/>
      <c r="D8" s="8" t="n"/>
      <c r="E8" s="8" t="n"/>
      <c r="F8" s="8" t="n"/>
      <c r="G8" s="8" t="n"/>
      <c r="H8" s="15">
        <f>C8*D8*G8*8</f>
        <v/>
      </c>
      <c r="I8" s="8" t="n"/>
      <c r="J8" s="8" t="n"/>
    </row>
    <row r="9">
      <c r="A9" s="17" t="inlineStr">
        <is>
          <t>Solution Architect</t>
        </is>
      </c>
      <c r="B9" s="8" t="n"/>
      <c r="C9" s="8" t="n"/>
      <c r="D9" s="8" t="n"/>
      <c r="E9" s="8" t="n"/>
      <c r="F9" s="8" t="n"/>
      <c r="G9" s="8" t="n"/>
      <c r="H9" s="15">
        <f>C9*D9*G9*8</f>
        <v/>
      </c>
      <c r="I9" s="8" t="n"/>
      <c r="J9" s="8" t="n"/>
    </row>
    <row r="10">
      <c r="A10" s="17" t="inlineStr">
        <is>
          <t>Developer - Senior</t>
        </is>
      </c>
      <c r="B10" s="8" t="n"/>
      <c r="C10" s="8" t="n"/>
      <c r="D10" s="8" t="n"/>
      <c r="E10" s="8" t="n"/>
      <c r="F10" s="8" t="n"/>
      <c r="G10" s="8" t="n"/>
      <c r="H10" s="15">
        <f>C10*D10*G10*8</f>
        <v/>
      </c>
      <c r="I10" s="8" t="n"/>
      <c r="J10" s="8" t="n"/>
    </row>
    <row r="11">
      <c r="A11" s="17" t="inlineStr">
        <is>
          <t>Developer - Mid</t>
        </is>
      </c>
      <c r="B11" s="8" t="n"/>
      <c r="C11" s="8" t="n"/>
      <c r="D11" s="8" t="n"/>
      <c r="E11" s="8" t="n"/>
      <c r="F11" s="8" t="n"/>
      <c r="G11" s="8" t="n"/>
      <c r="H11" s="15">
        <f>C11*D11*G11*8</f>
        <v/>
      </c>
      <c r="I11" s="8" t="n"/>
      <c r="J11" s="8" t="n"/>
    </row>
    <row r="12">
      <c r="A12" s="17" t="inlineStr">
        <is>
          <t>Developer - Junior</t>
        </is>
      </c>
      <c r="B12" s="8" t="n"/>
      <c r="C12" s="8" t="n"/>
      <c r="D12" s="8" t="n"/>
      <c r="E12" s="8" t="n"/>
      <c r="F12" s="8" t="n"/>
      <c r="G12" s="8" t="n"/>
      <c r="H12" s="15">
        <f>C12*D12*G12*8</f>
        <v/>
      </c>
      <c r="I12" s="8" t="n"/>
      <c r="J12" s="8" t="n"/>
    </row>
    <row r="13">
      <c r="A13" s="17" t="inlineStr">
        <is>
          <t>QA Analyst</t>
        </is>
      </c>
      <c r="B13" s="8" t="n"/>
      <c r="C13" s="8" t="n"/>
      <c r="D13" s="8" t="n"/>
      <c r="E13" s="8" t="n"/>
      <c r="F13" s="8" t="n"/>
      <c r="G13" s="8" t="n"/>
      <c r="H13" s="15">
        <f>C13*D13*G13*8</f>
        <v/>
      </c>
      <c r="I13" s="8" t="n"/>
      <c r="J13" s="8" t="n"/>
    </row>
    <row r="14">
      <c r="A14" s="17" t="inlineStr">
        <is>
          <t>QA Tester</t>
        </is>
      </c>
      <c r="B14" s="8" t="n"/>
      <c r="C14" s="8" t="n"/>
      <c r="D14" s="8" t="n"/>
      <c r="E14" s="8" t="n"/>
      <c r="F14" s="8" t="n"/>
      <c r="G14" s="8" t="n"/>
      <c r="H14" s="15">
        <f>C14*D14*G14*8</f>
        <v/>
      </c>
      <c r="I14" s="8" t="n"/>
      <c r="J14" s="8" t="n"/>
    </row>
    <row r="15">
      <c r="A15" s="17" t="inlineStr">
        <is>
          <t>DevOps Engineer</t>
        </is>
      </c>
      <c r="B15" s="8" t="n"/>
      <c r="C15" s="8" t="n"/>
      <c r="D15" s="8" t="n"/>
      <c r="E15" s="8" t="n"/>
      <c r="F15" s="8" t="n"/>
      <c r="G15" s="8" t="n"/>
      <c r="H15" s="15">
        <f>C15*D15*G15*8</f>
        <v/>
      </c>
      <c r="I15" s="8" t="n"/>
      <c r="J15" s="8" t="n"/>
    </row>
    <row r="16">
      <c r="A16" s="17" t="inlineStr">
        <is>
          <t>Database Administrator</t>
        </is>
      </c>
      <c r="B16" s="8" t="n"/>
      <c r="C16" s="8" t="n"/>
      <c r="D16" s="8" t="n"/>
      <c r="E16" s="8" t="n"/>
      <c r="F16" s="8" t="n"/>
      <c r="G16" s="8" t="n"/>
      <c r="H16" s="15">
        <f>C16*D16*G16*8</f>
        <v/>
      </c>
      <c r="I16" s="8" t="n"/>
      <c r="J16" s="8" t="n"/>
    </row>
    <row r="17">
      <c r="A17" s="17" t="inlineStr">
        <is>
          <t>Change Manager</t>
        </is>
      </c>
      <c r="B17" s="8" t="n"/>
      <c r="C17" s="8" t="n"/>
      <c r="D17" s="8" t="n"/>
      <c r="E17" s="8" t="n"/>
      <c r="F17" s="8" t="n"/>
      <c r="G17" s="8" t="n"/>
      <c r="H17" s="15">
        <f>C17*D17*G17*8</f>
        <v/>
      </c>
      <c r="I17" s="8" t="n"/>
      <c r="J17" s="8" t="n"/>
    </row>
    <row r="18">
      <c r="A18" s="17" t="inlineStr">
        <is>
          <t>Training Specialist</t>
        </is>
      </c>
      <c r="B18" s="8" t="n"/>
      <c r="C18" s="8" t="n"/>
      <c r="D18" s="8" t="n"/>
      <c r="E18" s="8" t="n"/>
      <c r="F18" s="8" t="n"/>
      <c r="G18" s="8" t="n"/>
      <c r="H18" s="15">
        <f>C18*D18*G18*8</f>
        <v/>
      </c>
      <c r="I18" s="8" t="n"/>
      <c r="J18" s="8" t="n"/>
    </row>
    <row r="19">
      <c r="A19" s="17" t="inlineStr">
        <is>
          <t>Business SME</t>
        </is>
      </c>
      <c r="B19" s="8" t="n"/>
      <c r="C19" s="8" t="n"/>
      <c r="D19" s="8" t="n"/>
      <c r="E19" s="8" t="n"/>
      <c r="F19" s="8" t="n"/>
      <c r="G19" s="8" t="n"/>
      <c r="H19" s="15">
        <f>C19*D19*G19*8</f>
        <v/>
      </c>
      <c r="I19" s="8" t="n"/>
      <c r="J19" s="8" t="n"/>
    </row>
    <row r="20">
      <c r="A20" s="14" t="inlineStr">
        <is>
          <t>TOTAL RESOURCE COST</t>
        </is>
      </c>
      <c r="H20" s="29">
        <f>SUM(H7:H19)</f>
        <v/>
      </c>
    </row>
    <row r="23">
      <c r="A23" s="7" t="inlineStr">
        <is>
          <t>RESOURCE SUMMARY BY SOURCE</t>
        </is>
      </c>
    </row>
    <row r="24">
      <c r="A24" s="16" t="inlineStr">
        <is>
          <t>Source</t>
        </is>
      </c>
      <c r="B24" s="16" t="inlineStr">
        <is>
          <t>Total FTE</t>
        </is>
      </c>
      <c r="C24" s="16" t="inlineStr">
        <is>
          <t>Total Cost</t>
        </is>
      </c>
      <c r="D24" s="16" t="inlineStr">
        <is>
          <t>% of Total</t>
        </is>
      </c>
    </row>
    <row r="25">
      <c r="A25" s="17" t="inlineStr">
        <is>
          <t>Internal</t>
        </is>
      </c>
      <c r="B25" s="8" t="n"/>
      <c r="C25" s="8" t="n"/>
      <c r="D25" s="8" t="n"/>
    </row>
    <row r="26">
      <c r="A26" s="17" t="inlineStr">
        <is>
          <t>Contractor</t>
        </is>
      </c>
      <c r="B26" s="8" t="n"/>
      <c r="C26" s="8" t="n"/>
      <c r="D26" s="8" t="n"/>
    </row>
    <row r="27">
      <c r="A27" s="17" t="inlineStr">
        <is>
          <t>Vendor</t>
        </is>
      </c>
      <c r="B27" s="8" t="n"/>
      <c r="C27" s="8" t="n"/>
      <c r="D27" s="8" t="n"/>
    </row>
    <row r="28">
      <c r="A28" s="14" t="inlineStr">
        <is>
          <t>TOTAL</t>
        </is>
      </c>
      <c r="B28" s="15" t="n"/>
      <c r="C28" s="15" t="n"/>
      <c r="D28" s="15" t="n"/>
    </row>
  </sheetData>
  <mergeCells count="4">
    <mergeCell ref="A23:D23"/>
    <mergeCell ref="A1:J1"/>
    <mergeCell ref="B3:D3"/>
    <mergeCell ref="A5:J5"/>
  </mergeCells>
  <dataValidations count="1">
    <dataValidation sqref="B7 B8 B9 B10 B11 B12 B13 B14 B15 B16 B17 B18 B19" showDropDown="0" showInputMessage="0" showErrorMessage="0" allowBlank="1" type="list">
      <formula1>"Internal,Contractor,Vendor"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c r="A1" s="6" t="inlineStr">
        <is>
          <t>IMPLEMENTATION TIMELINE</t>
        </is>
      </c>
    </row>
    <row r="3">
      <c r="A3" t="inlineStr">
        <is>
          <t>Initiative Name:</t>
        </is>
      </c>
      <c r="B3" s="8" t="n"/>
      <c r="C3" s="10" t="n"/>
      <c r="D3" s="11" t="n"/>
    </row>
    <row r="5">
      <c r="A5" s="30" t="inlineStr">
        <is>
          <t>Phase/Activity</t>
        </is>
      </c>
      <c r="B5" s="30" t="inlineStr">
        <is>
          <t>Start Date</t>
        </is>
      </c>
      <c r="C5" s="30" t="inlineStr">
        <is>
          <t>End Date</t>
        </is>
      </c>
      <c r="D5" s="30" t="inlineStr">
        <is>
          <t>Duration</t>
        </is>
      </c>
      <c r="E5" s="30" t="inlineStr">
        <is>
          <t>M1</t>
        </is>
      </c>
      <c r="F5" s="30" t="inlineStr">
        <is>
          <t>M2</t>
        </is>
      </c>
      <c r="G5" s="30" t="inlineStr">
        <is>
          <t>M3</t>
        </is>
      </c>
      <c r="H5" s="30" t="inlineStr">
        <is>
          <t>M4</t>
        </is>
      </c>
      <c r="I5" s="30" t="inlineStr">
        <is>
          <t>M5</t>
        </is>
      </c>
      <c r="J5" s="30" t="inlineStr">
        <is>
          <t>M6</t>
        </is>
      </c>
      <c r="K5" s="30" t="inlineStr">
        <is>
          <t>M7</t>
        </is>
      </c>
      <c r="L5" s="30" t="inlineStr">
        <is>
          <t>M8</t>
        </is>
      </c>
      <c r="M5" s="30" t="inlineStr">
        <is>
          <t>M9</t>
        </is>
      </c>
      <c r="N5" s="30" t="inlineStr">
        <is>
          <t>M10</t>
        </is>
      </c>
      <c r="O5" s="30" t="inlineStr">
        <is>
          <t>M11</t>
        </is>
      </c>
      <c r="P5" s="30" t="inlineStr">
        <is>
          <t>M12</t>
        </is>
      </c>
    </row>
    <row r="6">
      <c r="A6" s="16" t="inlineStr">
        <is>
          <t>PHASE 1: PLANNING</t>
        </is>
      </c>
      <c r="B6" s="17" t="n"/>
      <c r="C6" s="17" t="n"/>
      <c r="D6" s="17" t="n"/>
      <c r="E6" s="17" t="n"/>
      <c r="F6" s="17" t="n"/>
      <c r="G6" s="17" t="n"/>
      <c r="H6" s="17" t="n"/>
      <c r="I6" s="17" t="n"/>
      <c r="J6" s="17" t="n"/>
      <c r="K6" s="17" t="n"/>
      <c r="L6" s="17" t="n"/>
      <c r="M6" s="17" t="n"/>
      <c r="N6" s="17" t="n"/>
      <c r="O6" s="17" t="n"/>
      <c r="P6" s="17" t="n"/>
    </row>
    <row r="7">
      <c r="A7" s="17" t="inlineStr">
        <is>
          <t xml:space="preserve">  Project Kickoff</t>
        </is>
      </c>
      <c r="B7" s="8" t="n"/>
      <c r="C7" s="8" t="n"/>
      <c r="D7" s="15" t="n"/>
      <c r="E7" s="17" t="n"/>
      <c r="F7" s="17" t="n"/>
      <c r="G7" s="17" t="n"/>
      <c r="H7" s="17" t="n"/>
      <c r="I7" s="17" t="n"/>
      <c r="J7" s="17" t="n"/>
      <c r="K7" s="17" t="n"/>
      <c r="L7" s="17" t="n"/>
      <c r="M7" s="17" t="n"/>
      <c r="N7" s="17" t="n"/>
      <c r="O7" s="17" t="n"/>
      <c r="P7" s="17" t="n"/>
    </row>
    <row r="8">
      <c r="A8" s="17" t="inlineStr">
        <is>
          <t xml:space="preserve">  Requirements Gathering</t>
        </is>
      </c>
      <c r="B8" s="8" t="n"/>
      <c r="C8" s="8" t="n"/>
      <c r="D8" s="15" t="n"/>
      <c r="E8" s="17" t="n"/>
      <c r="F8" s="17" t="n"/>
      <c r="G8" s="17" t="n"/>
      <c r="H8" s="17" t="n"/>
      <c r="I8" s="17" t="n"/>
      <c r="J8" s="17" t="n"/>
      <c r="K8" s="17" t="n"/>
      <c r="L8" s="17" t="n"/>
      <c r="M8" s="17" t="n"/>
      <c r="N8" s="17" t="n"/>
      <c r="O8" s="17" t="n"/>
      <c r="P8" s="17" t="n"/>
    </row>
    <row r="9">
      <c r="A9" s="17" t="inlineStr">
        <is>
          <t xml:space="preserve">  Detailed Design</t>
        </is>
      </c>
      <c r="B9" s="8" t="n"/>
      <c r="C9" s="8" t="n"/>
      <c r="D9" s="15" t="n"/>
      <c r="E9" s="17" t="n"/>
      <c r="F9" s="17" t="n"/>
      <c r="G9" s="17" t="n"/>
      <c r="H9" s="17" t="n"/>
      <c r="I9" s="17" t="n"/>
      <c r="J9" s="17" t="n"/>
      <c r="K9" s="17" t="n"/>
      <c r="L9" s="17" t="n"/>
      <c r="M9" s="17" t="n"/>
      <c r="N9" s="17" t="n"/>
      <c r="O9" s="17" t="n"/>
      <c r="P9" s="17" t="n"/>
    </row>
    <row r="10">
      <c r="A10" s="17" t="inlineStr">
        <is>
          <t xml:space="preserve">  Vendor Selection</t>
        </is>
      </c>
      <c r="B10" s="8" t="n"/>
      <c r="C10" s="8" t="n"/>
      <c r="D10" s="15" t="n"/>
      <c r="E10" s="17" t="n"/>
      <c r="F10" s="17" t="n"/>
      <c r="G10" s="17" t="n"/>
      <c r="H10" s="17" t="n"/>
      <c r="I10" s="17" t="n"/>
      <c r="J10" s="17" t="n"/>
      <c r="K10" s="17" t="n"/>
      <c r="L10" s="17" t="n"/>
      <c r="M10" s="17" t="n"/>
      <c r="N10" s="17" t="n"/>
      <c r="O10" s="17" t="n"/>
      <c r="P10" s="17" t="n"/>
    </row>
    <row r="11">
      <c r="A11" s="17" t="inlineStr">
        <is>
          <t xml:space="preserve">  Contract Negotiation</t>
        </is>
      </c>
      <c r="B11" s="8" t="n"/>
      <c r="C11" s="8" t="n"/>
      <c r="D11" s="15" t="n"/>
      <c r="E11" s="17" t="n"/>
      <c r="F11" s="17" t="n"/>
      <c r="G11" s="17" t="n"/>
      <c r="H11" s="17" t="n"/>
      <c r="I11" s="17" t="n"/>
      <c r="J11" s="17" t="n"/>
      <c r="K11" s="17" t="n"/>
      <c r="L11" s="17" t="n"/>
      <c r="M11" s="17" t="n"/>
      <c r="N11" s="17" t="n"/>
      <c r="O11" s="17" t="n"/>
      <c r="P11" s="17" t="n"/>
    </row>
    <row r="12">
      <c r="A12" s="16" t="inlineStr">
        <is>
          <t>PHASE 2: DEVELOPMENT</t>
        </is>
      </c>
      <c r="B12" s="17" t="n"/>
      <c r="C12" s="17" t="n"/>
      <c r="D12" s="17" t="n"/>
      <c r="E12" s="17" t="n"/>
      <c r="F12" s="17" t="n"/>
      <c r="G12" s="17" t="n"/>
      <c r="H12" s="17" t="n"/>
      <c r="I12" s="17" t="n"/>
      <c r="J12" s="17" t="n"/>
      <c r="K12" s="17" t="n"/>
      <c r="L12" s="17" t="n"/>
      <c r="M12" s="17" t="n"/>
      <c r="N12" s="17" t="n"/>
      <c r="O12" s="17" t="n"/>
      <c r="P12" s="17" t="n"/>
    </row>
    <row r="13">
      <c r="A13" s="17" t="inlineStr">
        <is>
          <t xml:space="preserve">  Environment Setup</t>
        </is>
      </c>
      <c r="B13" s="8" t="n"/>
      <c r="C13" s="8" t="n"/>
      <c r="D13" s="15" t="n"/>
      <c r="E13" s="17" t="n"/>
      <c r="F13" s="17" t="n"/>
      <c r="G13" s="17" t="n"/>
      <c r="H13" s="17" t="n"/>
      <c r="I13" s="17" t="n"/>
      <c r="J13" s="17" t="n"/>
      <c r="K13" s="17" t="n"/>
      <c r="L13" s="17" t="n"/>
      <c r="M13" s="17" t="n"/>
      <c r="N13" s="17" t="n"/>
      <c r="O13" s="17" t="n"/>
      <c r="P13" s="17" t="n"/>
    </row>
    <row r="14">
      <c r="A14" s="17" t="inlineStr">
        <is>
          <t xml:space="preserve">  Core Development/Configuration</t>
        </is>
      </c>
      <c r="B14" s="8" t="n"/>
      <c r="C14" s="8" t="n"/>
      <c r="D14" s="15" t="n"/>
      <c r="E14" s="17" t="n"/>
      <c r="F14" s="17" t="n"/>
      <c r="G14" s="17" t="n"/>
      <c r="H14" s="17" t="n"/>
      <c r="I14" s="17" t="n"/>
      <c r="J14" s="17" t="n"/>
      <c r="K14" s="17" t="n"/>
      <c r="L14" s="17" t="n"/>
      <c r="M14" s="17" t="n"/>
      <c r="N14" s="17" t="n"/>
      <c r="O14" s="17" t="n"/>
      <c r="P14" s="17" t="n"/>
    </row>
    <row r="15">
      <c r="A15" s="17" t="inlineStr">
        <is>
          <t xml:space="preserve">  Integration Development</t>
        </is>
      </c>
      <c r="B15" s="8" t="n"/>
      <c r="C15" s="8" t="n"/>
      <c r="D15" s="15" t="n"/>
      <c r="E15" s="17" t="n"/>
      <c r="F15" s="17" t="n"/>
      <c r="G15" s="17" t="n"/>
      <c r="H15" s="17" t="n"/>
      <c r="I15" s="17" t="n"/>
      <c r="J15" s="17" t="n"/>
      <c r="K15" s="17" t="n"/>
      <c r="L15" s="17" t="n"/>
      <c r="M15" s="17" t="n"/>
      <c r="N15" s="17" t="n"/>
      <c r="O15" s="17" t="n"/>
      <c r="P15" s="17" t="n"/>
    </row>
    <row r="16">
      <c r="A16" s="17" t="inlineStr">
        <is>
          <t xml:space="preserve">  Data Migration</t>
        </is>
      </c>
      <c r="B16" s="8" t="n"/>
      <c r="C16" s="8" t="n"/>
      <c r="D16" s="15" t="n"/>
      <c r="E16" s="17" t="n"/>
      <c r="F16" s="17" t="n"/>
      <c r="G16" s="17" t="n"/>
      <c r="H16" s="17" t="n"/>
      <c r="I16" s="17" t="n"/>
      <c r="J16" s="17" t="n"/>
      <c r="K16" s="17" t="n"/>
      <c r="L16" s="17" t="n"/>
      <c r="M16" s="17" t="n"/>
      <c r="N16" s="17" t="n"/>
      <c r="O16" s="17" t="n"/>
      <c r="P16" s="17" t="n"/>
    </row>
    <row r="17">
      <c r="A17" s="16" t="inlineStr">
        <is>
          <t>PHASE 3: TESTING</t>
        </is>
      </c>
      <c r="B17" s="17" t="n"/>
      <c r="C17" s="17" t="n"/>
      <c r="D17" s="17" t="n"/>
      <c r="E17" s="17" t="n"/>
      <c r="F17" s="17" t="n"/>
      <c r="G17" s="17" t="n"/>
      <c r="H17" s="17" t="n"/>
      <c r="I17" s="17" t="n"/>
      <c r="J17" s="17" t="n"/>
      <c r="K17" s="17" t="n"/>
      <c r="L17" s="17" t="n"/>
      <c r="M17" s="17" t="n"/>
      <c r="N17" s="17" t="n"/>
      <c r="O17" s="17" t="n"/>
      <c r="P17" s="17" t="n"/>
    </row>
    <row r="18">
      <c r="A18" s="17" t="inlineStr">
        <is>
          <t xml:space="preserve">  Unit Testing</t>
        </is>
      </c>
      <c r="B18" s="8" t="n"/>
      <c r="C18" s="8" t="n"/>
      <c r="D18" s="15" t="n"/>
      <c r="E18" s="17" t="n"/>
      <c r="F18" s="17" t="n"/>
      <c r="G18" s="17" t="n"/>
      <c r="H18" s="17" t="n"/>
      <c r="I18" s="17" t="n"/>
      <c r="J18" s="17" t="n"/>
      <c r="K18" s="17" t="n"/>
      <c r="L18" s="17" t="n"/>
      <c r="M18" s="17" t="n"/>
      <c r="N18" s="17" t="n"/>
      <c r="O18" s="17" t="n"/>
      <c r="P18" s="17" t="n"/>
    </row>
    <row r="19">
      <c r="A19" s="17" t="inlineStr">
        <is>
          <t xml:space="preserve">  System Integration Testing</t>
        </is>
      </c>
      <c r="B19" s="8" t="n"/>
      <c r="C19" s="8" t="n"/>
      <c r="D19" s="15" t="n"/>
      <c r="E19" s="17" t="n"/>
      <c r="F19" s="17" t="n"/>
      <c r="G19" s="17" t="n"/>
      <c r="H19" s="17" t="n"/>
      <c r="I19" s="17" t="n"/>
      <c r="J19" s="17" t="n"/>
      <c r="K19" s="17" t="n"/>
      <c r="L19" s="17" t="n"/>
      <c r="M19" s="17" t="n"/>
      <c r="N19" s="17" t="n"/>
      <c r="O19" s="17" t="n"/>
      <c r="P19" s="17" t="n"/>
    </row>
    <row r="20">
      <c r="A20" s="17" t="inlineStr">
        <is>
          <t xml:space="preserve">  User Acceptance Testing</t>
        </is>
      </c>
      <c r="B20" s="8" t="n"/>
      <c r="C20" s="8" t="n"/>
      <c r="D20" s="15" t="n"/>
      <c r="E20" s="17" t="n"/>
      <c r="F20" s="17" t="n"/>
      <c r="G20" s="17" t="n"/>
      <c r="H20" s="17" t="n"/>
      <c r="I20" s="17" t="n"/>
      <c r="J20" s="17" t="n"/>
      <c r="K20" s="17" t="n"/>
      <c r="L20" s="17" t="n"/>
      <c r="M20" s="17" t="n"/>
      <c r="N20" s="17" t="n"/>
      <c r="O20" s="17" t="n"/>
      <c r="P20" s="17" t="n"/>
    </row>
    <row r="21">
      <c r="A21" s="17" t="inlineStr">
        <is>
          <t xml:space="preserve">  Performance Testing</t>
        </is>
      </c>
      <c r="B21" s="8" t="n"/>
      <c r="C21" s="8" t="n"/>
      <c r="D21" s="15" t="n"/>
      <c r="E21" s="17" t="n"/>
      <c r="F21" s="17" t="n"/>
      <c r="G21" s="17" t="n"/>
      <c r="H21" s="17" t="n"/>
      <c r="I21" s="17" t="n"/>
      <c r="J21" s="17" t="n"/>
      <c r="K21" s="17" t="n"/>
      <c r="L21" s="17" t="n"/>
      <c r="M21" s="17" t="n"/>
      <c r="N21" s="17" t="n"/>
      <c r="O21" s="17" t="n"/>
      <c r="P21" s="17" t="n"/>
    </row>
    <row r="22">
      <c r="A22" s="17" t="inlineStr">
        <is>
          <t xml:space="preserve">  Security Testing</t>
        </is>
      </c>
      <c r="B22" s="8" t="n"/>
      <c r="C22" s="8" t="n"/>
      <c r="D22" s="15" t="n"/>
      <c r="E22" s="17" t="n"/>
      <c r="F22" s="17" t="n"/>
      <c r="G22" s="17" t="n"/>
      <c r="H22" s="17" t="n"/>
      <c r="I22" s="17" t="n"/>
      <c r="J22" s="17" t="n"/>
      <c r="K22" s="17" t="n"/>
      <c r="L22" s="17" t="n"/>
      <c r="M22" s="17" t="n"/>
      <c r="N22" s="17" t="n"/>
      <c r="O22" s="17" t="n"/>
      <c r="P22" s="17" t="n"/>
    </row>
    <row r="23">
      <c r="A23" s="16" t="inlineStr">
        <is>
          <t>PHASE 4: DEPLOYMENT</t>
        </is>
      </c>
      <c r="B23" s="17" t="n"/>
      <c r="C23" s="17" t="n"/>
      <c r="D23" s="17" t="n"/>
      <c r="E23" s="17" t="n"/>
      <c r="F23" s="17" t="n"/>
      <c r="G23" s="17" t="n"/>
      <c r="H23" s="17" t="n"/>
      <c r="I23" s="17" t="n"/>
      <c r="J23" s="17" t="n"/>
      <c r="K23" s="17" t="n"/>
      <c r="L23" s="17" t="n"/>
      <c r="M23" s="17" t="n"/>
      <c r="N23" s="17" t="n"/>
      <c r="O23" s="17" t="n"/>
      <c r="P23" s="17" t="n"/>
    </row>
    <row r="24">
      <c r="A24" s="17" t="inlineStr">
        <is>
          <t xml:space="preserve">  Training Delivery</t>
        </is>
      </c>
      <c r="B24" s="8" t="n"/>
      <c r="C24" s="8" t="n"/>
      <c r="D24" s="15" t="n"/>
      <c r="E24" s="17" t="n"/>
      <c r="F24" s="17" t="n"/>
      <c r="G24" s="17" t="n"/>
      <c r="H24" s="17" t="n"/>
      <c r="I24" s="17" t="n"/>
      <c r="J24" s="17" t="n"/>
      <c r="K24" s="17" t="n"/>
      <c r="L24" s="17" t="n"/>
      <c r="M24" s="17" t="n"/>
      <c r="N24" s="17" t="n"/>
      <c r="O24" s="17" t="n"/>
      <c r="P24" s="17" t="n"/>
    </row>
    <row r="25">
      <c r="A25" s="17" t="inlineStr">
        <is>
          <t xml:space="preserve">  Change Management Activities</t>
        </is>
      </c>
      <c r="B25" s="8" t="n"/>
      <c r="C25" s="8" t="n"/>
      <c r="D25" s="15" t="n"/>
      <c r="E25" s="17" t="n"/>
      <c r="F25" s="17" t="n"/>
      <c r="G25" s="17" t="n"/>
      <c r="H25" s="17" t="n"/>
      <c r="I25" s="17" t="n"/>
      <c r="J25" s="17" t="n"/>
      <c r="K25" s="17" t="n"/>
      <c r="L25" s="17" t="n"/>
      <c r="M25" s="17" t="n"/>
      <c r="N25" s="17" t="n"/>
      <c r="O25" s="17" t="n"/>
      <c r="P25" s="17" t="n"/>
    </row>
    <row r="26">
      <c r="A26" s="17" t="inlineStr">
        <is>
          <t xml:space="preserve">  Production Deployment</t>
        </is>
      </c>
      <c r="B26" s="8" t="n"/>
      <c r="C26" s="8" t="n"/>
      <c r="D26" s="15" t="n"/>
      <c r="E26" s="17" t="n"/>
      <c r="F26" s="17" t="n"/>
      <c r="G26" s="17" t="n"/>
      <c r="H26" s="17" t="n"/>
      <c r="I26" s="17" t="n"/>
      <c r="J26" s="17" t="n"/>
      <c r="K26" s="17" t="n"/>
      <c r="L26" s="17" t="n"/>
      <c r="M26" s="17" t="n"/>
      <c r="N26" s="17" t="n"/>
      <c r="O26" s="17" t="n"/>
      <c r="P26" s="17" t="n"/>
    </row>
    <row r="27">
      <c r="A27" s="17" t="inlineStr">
        <is>
          <t xml:space="preserve">  Hypercare Support</t>
        </is>
      </c>
      <c r="B27" s="8" t="n"/>
      <c r="C27" s="8" t="n"/>
      <c r="D27" s="15" t="n"/>
      <c r="E27" s="17" t="n"/>
      <c r="F27" s="17" t="n"/>
      <c r="G27" s="17" t="n"/>
      <c r="H27" s="17" t="n"/>
      <c r="I27" s="17" t="n"/>
      <c r="J27" s="17" t="n"/>
      <c r="K27" s="17" t="n"/>
      <c r="L27" s="17" t="n"/>
      <c r="M27" s="17" t="n"/>
      <c r="N27" s="17" t="n"/>
      <c r="O27" s="17" t="n"/>
      <c r="P27" s="17" t="n"/>
    </row>
    <row r="28">
      <c r="A28" s="16" t="inlineStr">
        <is>
          <t>PHASE 5: CLOSURE</t>
        </is>
      </c>
      <c r="B28" s="17" t="n"/>
      <c r="C28" s="17" t="n"/>
      <c r="D28" s="17" t="n"/>
      <c r="E28" s="17" t="n"/>
      <c r="F28" s="17" t="n"/>
      <c r="G28" s="17" t="n"/>
      <c r="H28" s="17" t="n"/>
      <c r="I28" s="17" t="n"/>
      <c r="J28" s="17" t="n"/>
      <c r="K28" s="17" t="n"/>
      <c r="L28" s="17" t="n"/>
      <c r="M28" s="17" t="n"/>
      <c r="N28" s="17" t="n"/>
      <c r="O28" s="17" t="n"/>
      <c r="P28" s="17" t="n"/>
    </row>
    <row r="29">
      <c r="A29" s="17" t="inlineStr">
        <is>
          <t xml:space="preserve">  Benefits Baseline</t>
        </is>
      </c>
      <c r="B29" s="8" t="n"/>
      <c r="C29" s="8" t="n"/>
      <c r="D29" s="15" t="n"/>
      <c r="E29" s="17" t="n"/>
      <c r="F29" s="17" t="n"/>
      <c r="G29" s="17" t="n"/>
      <c r="H29" s="17" t="n"/>
      <c r="I29" s="17" t="n"/>
      <c r="J29" s="17" t="n"/>
      <c r="K29" s="17" t="n"/>
      <c r="L29" s="17" t="n"/>
      <c r="M29" s="17" t="n"/>
      <c r="N29" s="17" t="n"/>
      <c r="O29" s="17" t="n"/>
      <c r="P29" s="17" t="n"/>
    </row>
    <row r="30">
      <c r="A30" s="17" t="inlineStr">
        <is>
          <t xml:space="preserve">  Project Closure</t>
        </is>
      </c>
      <c r="B30" s="8" t="n"/>
      <c r="C30" s="8" t="n"/>
      <c r="D30" s="15" t="n"/>
      <c r="E30" s="17" t="n"/>
      <c r="F30" s="17" t="n"/>
      <c r="G30" s="17" t="n"/>
      <c r="H30" s="17" t="n"/>
      <c r="I30" s="17" t="n"/>
      <c r="J30" s="17" t="n"/>
      <c r="K30" s="17" t="n"/>
      <c r="L30" s="17" t="n"/>
      <c r="M30" s="17" t="n"/>
      <c r="N30" s="17" t="n"/>
      <c r="O30" s="17" t="n"/>
      <c r="P30" s="17" t="n"/>
    </row>
    <row r="31">
      <c r="A31" s="17" t="inlineStr">
        <is>
          <t xml:space="preserve">  Lessons Learned</t>
        </is>
      </c>
      <c r="B31" s="8" t="n"/>
      <c r="C31" s="8" t="n"/>
      <c r="D31" s="15" t="n"/>
      <c r="E31" s="17" t="n"/>
      <c r="F31" s="17" t="n"/>
      <c r="G31" s="17" t="n"/>
      <c r="H31" s="17" t="n"/>
      <c r="I31" s="17" t="n"/>
      <c r="J31" s="17" t="n"/>
      <c r="K31" s="17" t="n"/>
      <c r="L31" s="17" t="n"/>
      <c r="M31" s="17" t="n"/>
      <c r="N31" s="17" t="n"/>
      <c r="O31" s="17" t="n"/>
      <c r="P31" s="17" t="n"/>
    </row>
    <row r="33">
      <c r="A33" s="7" t="inlineStr">
        <is>
          <t>KEY MILESTONES</t>
        </is>
      </c>
    </row>
    <row r="34">
      <c r="A34" s="16" t="inlineStr">
        <is>
          <t>Milestone</t>
        </is>
      </c>
      <c r="B34" s="16" t="inlineStr">
        <is>
          <t>Target Date</t>
        </is>
      </c>
      <c r="C34" s="16" t="inlineStr">
        <is>
          <t>Actual Date</t>
        </is>
      </c>
      <c r="D34" s="16" t="inlineStr">
        <is>
          <t>Status</t>
        </is>
      </c>
    </row>
    <row r="35">
      <c r="A35" s="17" t="inlineStr">
        <is>
          <t>Project Kickoff Complete</t>
        </is>
      </c>
      <c r="B35" s="8" t="n"/>
      <c r="C35" s="8" t="n"/>
      <c r="D35" s="8" t="n"/>
    </row>
    <row r="36">
      <c r="A36" s="17" t="inlineStr">
        <is>
          <t>Requirements Sign-off</t>
        </is>
      </c>
      <c r="B36" s="8" t="n"/>
      <c r="C36" s="8" t="n"/>
      <c r="D36" s="8" t="n"/>
    </row>
    <row r="37">
      <c r="A37" s="17" t="inlineStr">
        <is>
          <t>Design Complete</t>
        </is>
      </c>
      <c r="B37" s="8" t="n"/>
      <c r="C37" s="8" t="n"/>
      <c r="D37" s="8" t="n"/>
    </row>
    <row r="38">
      <c r="A38" s="17" t="inlineStr">
        <is>
          <t>Development Complete</t>
        </is>
      </c>
      <c r="B38" s="8" t="n"/>
      <c r="C38" s="8" t="n"/>
      <c r="D38" s="8" t="n"/>
    </row>
    <row r="39">
      <c r="A39" s="17" t="inlineStr">
        <is>
          <t>UAT Sign-off</t>
        </is>
      </c>
      <c r="B39" s="8" t="n"/>
      <c r="C39" s="8" t="n"/>
      <c r="D39" s="8" t="n"/>
    </row>
    <row r="40">
      <c r="A40" s="17" t="inlineStr">
        <is>
          <t>Go-Live</t>
        </is>
      </c>
      <c r="B40" s="8" t="n"/>
      <c r="C40" s="8" t="n"/>
      <c r="D40" s="8" t="n"/>
    </row>
    <row r="41">
      <c r="A41" s="17" t="inlineStr">
        <is>
          <t>Project Closure</t>
        </is>
      </c>
      <c r="B41" s="8" t="n"/>
      <c r="C41" s="8" t="n"/>
      <c r="D41" s="8" t="n"/>
    </row>
  </sheetData>
  <mergeCells count="3">
    <mergeCell ref="A1:P1"/>
    <mergeCell ref="B3:D3"/>
    <mergeCell ref="A33:P33"/>
  </mergeCells>
  <dataValidations count="1">
    <dataValidation sqref="D35 D36 D37 D38 D39 D40 D41" showDropDown="0" showInputMessage="0" showErrorMessage="0" allowBlank="1" type="list">
      <formula1>"Not Started,In Progress,Complete,Delayed,At Risk"</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8" customWidth="1" min="1" max="1"/>
    <col width="25" customWidth="1" min="2" max="2"/>
    <col width="12" customWidth="1" min="3" max="3"/>
    <col width="15" customWidth="1" min="4" max="4"/>
    <col width="12" customWidth="1" min="5" max="5"/>
    <col width="12" customWidth="1" min="6" max="6"/>
    <col width="12" customWidth="1" min="7" max="7"/>
    <col width="10" customWidth="1" min="8" max="8"/>
    <col width="12" customWidth="1" min="9" max="9"/>
    <col width="12" customWidth="1" min="10" max="10"/>
    <col width="15" customWidth="1" min="11" max="11"/>
    <col width="15" customWidth="1" min="12" max="12"/>
    <col width="20" customWidth="1" min="13" max="13"/>
  </cols>
  <sheetData>
    <row r="1">
      <c r="A1" s="6" t="inlineStr">
        <is>
          <t>IT PORTFOLIO REGISTER</t>
        </is>
      </c>
    </row>
    <row r="3" ht="30" customHeight="1">
      <c r="A3" s="13" t="inlineStr">
        <is>
          <t>ID</t>
        </is>
      </c>
      <c r="B3" s="13" t="inlineStr">
        <is>
          <t>Initiative Name</t>
        </is>
      </c>
      <c r="C3" s="13" t="inlineStr">
        <is>
          <t>Category</t>
        </is>
      </c>
      <c r="D3" s="13" t="inlineStr">
        <is>
          <t>Business Sponsor</t>
        </is>
      </c>
      <c r="E3" s="13" t="inlineStr">
        <is>
          <t>IT Sponsor</t>
        </is>
      </c>
      <c r="F3" s="13" t="inlineStr">
        <is>
          <t>Investment ($)</t>
        </is>
      </c>
      <c r="G3" s="13" t="inlineStr">
        <is>
          <t>Annual Benefits</t>
        </is>
      </c>
      <c r="H3" s="13" t="inlineStr">
        <is>
          <t>Status</t>
        </is>
      </c>
      <c r="I3" s="13" t="inlineStr">
        <is>
          <t>Priority</t>
        </is>
      </c>
      <c r="J3" s="13" t="inlineStr">
        <is>
          <t>Health Score</t>
        </is>
      </c>
      <c r="K3" s="13" t="inlineStr">
        <is>
          <t>Start Date</t>
        </is>
      </c>
      <c r="L3" s="13" t="inlineStr">
        <is>
          <t>Target Completion</t>
        </is>
      </c>
      <c r="M3" s="13" t="inlineStr">
        <is>
          <t>Key Risks/Issues</t>
        </is>
      </c>
    </row>
    <row r="4">
      <c r="A4" s="8" t="inlineStr">
        <is>
          <t>INV-001</t>
        </is>
      </c>
      <c r="B4" s="8" t="n"/>
      <c r="C4" s="8" t="n"/>
      <c r="D4" s="8" t="n"/>
      <c r="E4" s="8" t="n"/>
      <c r="F4" s="8" t="n"/>
      <c r="G4" s="8" t="n"/>
      <c r="H4" s="8" t="n"/>
      <c r="I4" s="8" t="n"/>
      <c r="J4" s="8" t="n"/>
      <c r="K4" s="8" t="n"/>
      <c r="L4" s="8" t="n"/>
      <c r="M4" s="8" t="n"/>
    </row>
    <row r="5">
      <c r="A5" s="8" t="inlineStr">
        <is>
          <t>INV-002</t>
        </is>
      </c>
      <c r="B5" s="8" t="n"/>
      <c r="C5" s="8" t="n"/>
      <c r="D5" s="8" t="n"/>
      <c r="E5" s="8" t="n"/>
      <c r="F5" s="8" t="n"/>
      <c r="G5" s="8" t="n"/>
      <c r="H5" s="8" t="n"/>
      <c r="I5" s="8" t="n"/>
      <c r="J5" s="8" t="n"/>
      <c r="K5" s="8" t="n"/>
      <c r="L5" s="8" t="n"/>
      <c r="M5" s="8" t="n"/>
    </row>
    <row r="6">
      <c r="A6" s="8" t="inlineStr">
        <is>
          <t>INV-003</t>
        </is>
      </c>
      <c r="B6" s="8" t="n"/>
      <c r="C6" s="8" t="n"/>
      <c r="D6" s="8" t="n"/>
      <c r="E6" s="8" t="n"/>
      <c r="F6" s="8" t="n"/>
      <c r="G6" s="8" t="n"/>
      <c r="H6" s="8" t="n"/>
      <c r="I6" s="8" t="n"/>
      <c r="J6" s="8" t="n"/>
      <c r="K6" s="8" t="n"/>
      <c r="L6" s="8" t="n"/>
      <c r="M6" s="8" t="n"/>
    </row>
    <row r="7">
      <c r="A7" s="8" t="inlineStr">
        <is>
          <t>INV-004</t>
        </is>
      </c>
      <c r="B7" s="8" t="n"/>
      <c r="C7" s="8" t="n"/>
      <c r="D7" s="8" t="n"/>
      <c r="E7" s="8" t="n"/>
      <c r="F7" s="8" t="n"/>
      <c r="G7" s="8" t="n"/>
      <c r="H7" s="8" t="n"/>
      <c r="I7" s="8" t="n"/>
      <c r="J7" s="8" t="n"/>
      <c r="K7" s="8" t="n"/>
      <c r="L7" s="8" t="n"/>
      <c r="M7" s="8" t="n"/>
    </row>
    <row r="8">
      <c r="A8" s="8" t="inlineStr">
        <is>
          <t>INV-005</t>
        </is>
      </c>
      <c r="B8" s="8" t="n"/>
      <c r="C8" s="8" t="n"/>
      <c r="D8" s="8" t="n"/>
      <c r="E8" s="8" t="n"/>
      <c r="F8" s="8" t="n"/>
      <c r="G8" s="8" t="n"/>
      <c r="H8" s="8" t="n"/>
      <c r="I8" s="8" t="n"/>
      <c r="J8" s="8" t="n"/>
      <c r="K8" s="8" t="n"/>
      <c r="L8" s="8" t="n"/>
      <c r="M8" s="8" t="n"/>
    </row>
    <row r="9">
      <c r="A9" s="8" t="inlineStr">
        <is>
          <t>INV-006</t>
        </is>
      </c>
      <c r="B9" s="8" t="n"/>
      <c r="C9" s="8" t="n"/>
      <c r="D9" s="8" t="n"/>
      <c r="E9" s="8" t="n"/>
      <c r="F9" s="8" t="n"/>
      <c r="G9" s="8" t="n"/>
      <c r="H9" s="8" t="n"/>
      <c r="I9" s="8" t="n"/>
      <c r="J9" s="8" t="n"/>
      <c r="K9" s="8" t="n"/>
      <c r="L9" s="8" t="n"/>
      <c r="M9" s="8" t="n"/>
    </row>
    <row r="10">
      <c r="A10" s="8" t="inlineStr">
        <is>
          <t>INV-007</t>
        </is>
      </c>
      <c r="B10" s="8" t="n"/>
      <c r="C10" s="8" t="n"/>
      <c r="D10" s="8" t="n"/>
      <c r="E10" s="8" t="n"/>
      <c r="F10" s="8" t="n"/>
      <c r="G10" s="8" t="n"/>
      <c r="H10" s="8" t="n"/>
      <c r="I10" s="8" t="n"/>
      <c r="J10" s="8" t="n"/>
      <c r="K10" s="8" t="n"/>
      <c r="L10" s="8" t="n"/>
      <c r="M10" s="8" t="n"/>
    </row>
    <row r="11">
      <c r="A11" s="8" t="inlineStr">
        <is>
          <t>INV-008</t>
        </is>
      </c>
      <c r="B11" s="8" t="n"/>
      <c r="C11" s="8" t="n"/>
      <c r="D11" s="8" t="n"/>
      <c r="E11" s="8" t="n"/>
      <c r="F11" s="8" t="n"/>
      <c r="G11" s="8" t="n"/>
      <c r="H11" s="8" t="n"/>
      <c r="I11" s="8" t="n"/>
      <c r="J11" s="8" t="n"/>
      <c r="K11" s="8" t="n"/>
      <c r="L11" s="8" t="n"/>
      <c r="M11" s="8" t="n"/>
    </row>
    <row r="12">
      <c r="A12" s="8" t="inlineStr">
        <is>
          <t>INV-009</t>
        </is>
      </c>
      <c r="B12" s="8" t="n"/>
      <c r="C12" s="8" t="n"/>
      <c r="D12" s="8" t="n"/>
      <c r="E12" s="8" t="n"/>
      <c r="F12" s="8" t="n"/>
      <c r="G12" s="8" t="n"/>
      <c r="H12" s="8" t="n"/>
      <c r="I12" s="8" t="n"/>
      <c r="J12" s="8" t="n"/>
      <c r="K12" s="8" t="n"/>
      <c r="L12" s="8" t="n"/>
      <c r="M12" s="8" t="n"/>
    </row>
    <row r="13">
      <c r="A13" s="8" t="inlineStr">
        <is>
          <t>INV-010</t>
        </is>
      </c>
      <c r="B13" s="8" t="n"/>
      <c r="C13" s="8" t="n"/>
      <c r="D13" s="8" t="n"/>
      <c r="E13" s="8" t="n"/>
      <c r="F13" s="8" t="n"/>
      <c r="G13" s="8" t="n"/>
      <c r="H13" s="8" t="n"/>
      <c r="I13" s="8" t="n"/>
      <c r="J13" s="8" t="n"/>
      <c r="K13" s="8" t="n"/>
      <c r="L13" s="8" t="n"/>
      <c r="M13" s="8" t="n"/>
    </row>
    <row r="14">
      <c r="A14" s="8" t="inlineStr">
        <is>
          <t>INV-011</t>
        </is>
      </c>
      <c r="B14" s="8" t="n"/>
      <c r="C14" s="8" t="n"/>
      <c r="D14" s="8" t="n"/>
      <c r="E14" s="8" t="n"/>
      <c r="F14" s="8" t="n"/>
      <c r="G14" s="8" t="n"/>
      <c r="H14" s="8" t="n"/>
      <c r="I14" s="8" t="n"/>
      <c r="J14" s="8" t="n"/>
      <c r="K14" s="8" t="n"/>
      <c r="L14" s="8" t="n"/>
      <c r="M14" s="8" t="n"/>
    </row>
    <row r="15">
      <c r="A15" s="8" t="inlineStr">
        <is>
          <t>INV-012</t>
        </is>
      </c>
      <c r="B15" s="8" t="n"/>
      <c r="C15" s="8" t="n"/>
      <c r="D15" s="8" t="n"/>
      <c r="E15" s="8" t="n"/>
      <c r="F15" s="8" t="n"/>
      <c r="G15" s="8" t="n"/>
      <c r="H15" s="8" t="n"/>
      <c r="I15" s="8" t="n"/>
      <c r="J15" s="8" t="n"/>
      <c r="K15" s="8" t="n"/>
      <c r="L15" s="8" t="n"/>
      <c r="M15" s="8" t="n"/>
    </row>
    <row r="16">
      <c r="A16" s="8" t="inlineStr">
        <is>
          <t>INV-013</t>
        </is>
      </c>
      <c r="B16" s="8" t="n"/>
      <c r="C16" s="8" t="n"/>
      <c r="D16" s="8" t="n"/>
      <c r="E16" s="8" t="n"/>
      <c r="F16" s="8" t="n"/>
      <c r="G16" s="8" t="n"/>
      <c r="H16" s="8" t="n"/>
      <c r="I16" s="8" t="n"/>
      <c r="J16" s="8" t="n"/>
      <c r="K16" s="8" t="n"/>
      <c r="L16" s="8" t="n"/>
      <c r="M16" s="8" t="n"/>
    </row>
    <row r="17">
      <c r="A17" s="8" t="inlineStr">
        <is>
          <t>INV-014</t>
        </is>
      </c>
      <c r="B17" s="8" t="n"/>
      <c r="C17" s="8" t="n"/>
      <c r="D17" s="8" t="n"/>
      <c r="E17" s="8" t="n"/>
      <c r="F17" s="8" t="n"/>
      <c r="G17" s="8" t="n"/>
      <c r="H17" s="8" t="n"/>
      <c r="I17" s="8" t="n"/>
      <c r="J17" s="8" t="n"/>
      <c r="K17" s="8" t="n"/>
      <c r="L17" s="8" t="n"/>
      <c r="M17" s="8" t="n"/>
    </row>
    <row r="18">
      <c r="A18" s="8" t="inlineStr">
        <is>
          <t>INV-015</t>
        </is>
      </c>
      <c r="B18" s="8" t="n"/>
      <c r="C18" s="8" t="n"/>
      <c r="D18" s="8" t="n"/>
      <c r="E18" s="8" t="n"/>
      <c r="F18" s="8" t="n"/>
      <c r="G18" s="8" t="n"/>
      <c r="H18" s="8" t="n"/>
      <c r="I18" s="8" t="n"/>
      <c r="J18" s="8" t="n"/>
      <c r="K18" s="8" t="n"/>
      <c r="L18" s="8" t="n"/>
      <c r="M18" s="8" t="n"/>
    </row>
    <row r="19">
      <c r="A19" s="8" t="inlineStr">
        <is>
          <t>INV-016</t>
        </is>
      </c>
      <c r="B19" s="8" t="n"/>
      <c r="C19" s="8" t="n"/>
      <c r="D19" s="8" t="n"/>
      <c r="E19" s="8" t="n"/>
      <c r="F19" s="8" t="n"/>
      <c r="G19" s="8" t="n"/>
      <c r="H19" s="8" t="n"/>
      <c r="I19" s="8" t="n"/>
      <c r="J19" s="8" t="n"/>
      <c r="K19" s="8" t="n"/>
      <c r="L19" s="8" t="n"/>
      <c r="M19" s="8" t="n"/>
    </row>
    <row r="20">
      <c r="A20" s="8" t="inlineStr">
        <is>
          <t>INV-017</t>
        </is>
      </c>
      <c r="B20" s="8" t="n"/>
      <c r="C20" s="8" t="n"/>
      <c r="D20" s="8" t="n"/>
      <c r="E20" s="8" t="n"/>
      <c r="F20" s="8" t="n"/>
      <c r="G20" s="8" t="n"/>
      <c r="H20" s="8" t="n"/>
      <c r="I20" s="8" t="n"/>
      <c r="J20" s="8" t="n"/>
      <c r="K20" s="8" t="n"/>
      <c r="L20" s="8" t="n"/>
      <c r="M20" s="8" t="n"/>
    </row>
    <row r="21">
      <c r="A21" s="8" t="inlineStr">
        <is>
          <t>INV-018</t>
        </is>
      </c>
      <c r="B21" s="8" t="n"/>
      <c r="C21" s="8" t="n"/>
      <c r="D21" s="8" t="n"/>
      <c r="E21" s="8" t="n"/>
      <c r="F21" s="8" t="n"/>
      <c r="G21" s="8" t="n"/>
      <c r="H21" s="8" t="n"/>
      <c r="I21" s="8" t="n"/>
      <c r="J21" s="8" t="n"/>
      <c r="K21" s="8" t="n"/>
      <c r="L21" s="8" t="n"/>
      <c r="M21" s="8" t="n"/>
    </row>
    <row r="22">
      <c r="A22" s="8" t="inlineStr">
        <is>
          <t>INV-019</t>
        </is>
      </c>
      <c r="B22" s="8" t="n"/>
      <c r="C22" s="8" t="n"/>
      <c r="D22" s="8" t="n"/>
      <c r="E22" s="8" t="n"/>
      <c r="F22" s="8" t="n"/>
      <c r="G22" s="8" t="n"/>
      <c r="H22" s="8" t="n"/>
      <c r="I22" s="8" t="n"/>
      <c r="J22" s="8" t="n"/>
      <c r="K22" s="8" t="n"/>
      <c r="L22" s="8" t="n"/>
      <c r="M22" s="8" t="n"/>
    </row>
    <row r="23">
      <c r="A23" s="8" t="inlineStr">
        <is>
          <t>INV-020</t>
        </is>
      </c>
      <c r="B23" s="8" t="n"/>
      <c r="C23" s="8" t="n"/>
      <c r="D23" s="8" t="n"/>
      <c r="E23" s="8" t="n"/>
      <c r="F23" s="8" t="n"/>
      <c r="G23" s="8" t="n"/>
      <c r="H23" s="8" t="n"/>
      <c r="I23" s="8" t="n"/>
      <c r="J23" s="8" t="n"/>
      <c r="K23" s="8" t="n"/>
      <c r="L23" s="8" t="n"/>
      <c r="M23" s="8" t="n"/>
    </row>
    <row r="24">
      <c r="A24" s="8" t="inlineStr">
        <is>
          <t>INV-021</t>
        </is>
      </c>
      <c r="B24" s="8" t="n"/>
      <c r="C24" s="8" t="n"/>
      <c r="D24" s="8" t="n"/>
      <c r="E24" s="8" t="n"/>
      <c r="F24" s="8" t="n"/>
      <c r="G24" s="8" t="n"/>
      <c r="H24" s="8" t="n"/>
      <c r="I24" s="8" t="n"/>
      <c r="J24" s="8" t="n"/>
      <c r="K24" s="8" t="n"/>
      <c r="L24" s="8" t="n"/>
      <c r="M24" s="8" t="n"/>
    </row>
    <row r="25">
      <c r="A25" s="8" t="inlineStr">
        <is>
          <t>INV-022</t>
        </is>
      </c>
      <c r="B25" s="8" t="n"/>
      <c r="C25" s="8" t="n"/>
      <c r="D25" s="8" t="n"/>
      <c r="E25" s="8" t="n"/>
      <c r="F25" s="8" t="n"/>
      <c r="G25" s="8" t="n"/>
      <c r="H25" s="8" t="n"/>
      <c r="I25" s="8" t="n"/>
      <c r="J25" s="8" t="n"/>
      <c r="K25" s="8" t="n"/>
      <c r="L25" s="8" t="n"/>
      <c r="M25" s="8" t="n"/>
    </row>
    <row r="26">
      <c r="A26" s="8" t="inlineStr">
        <is>
          <t>INV-023</t>
        </is>
      </c>
      <c r="B26" s="8" t="n"/>
      <c r="C26" s="8" t="n"/>
      <c r="D26" s="8" t="n"/>
      <c r="E26" s="8" t="n"/>
      <c r="F26" s="8" t="n"/>
      <c r="G26" s="8" t="n"/>
      <c r="H26" s="8" t="n"/>
      <c r="I26" s="8" t="n"/>
      <c r="J26" s="8" t="n"/>
      <c r="K26" s="8" t="n"/>
      <c r="L26" s="8" t="n"/>
      <c r="M26" s="8" t="n"/>
    </row>
    <row r="27">
      <c r="A27" s="8" t="inlineStr">
        <is>
          <t>INV-024</t>
        </is>
      </c>
      <c r="B27" s="8" t="n"/>
      <c r="C27" s="8" t="n"/>
      <c r="D27" s="8" t="n"/>
      <c r="E27" s="8" t="n"/>
      <c r="F27" s="8" t="n"/>
      <c r="G27" s="8" t="n"/>
      <c r="H27" s="8" t="n"/>
      <c r="I27" s="8" t="n"/>
      <c r="J27" s="8" t="n"/>
      <c r="K27" s="8" t="n"/>
      <c r="L27" s="8" t="n"/>
      <c r="M27" s="8" t="n"/>
    </row>
    <row r="28">
      <c r="A28" s="8" t="inlineStr">
        <is>
          <t>INV-025</t>
        </is>
      </c>
      <c r="B28" s="8" t="n"/>
      <c r="C28" s="8" t="n"/>
      <c r="D28" s="8" t="n"/>
      <c r="E28" s="8" t="n"/>
      <c r="F28" s="8" t="n"/>
      <c r="G28" s="8" t="n"/>
      <c r="H28" s="8" t="n"/>
      <c r="I28" s="8" t="n"/>
      <c r="J28" s="8" t="n"/>
      <c r="K28" s="8" t="n"/>
      <c r="L28" s="8" t="n"/>
      <c r="M28" s="8" t="n"/>
    </row>
    <row r="29">
      <c r="A29" s="8" t="inlineStr">
        <is>
          <t>INV-026</t>
        </is>
      </c>
      <c r="B29" s="8" t="n"/>
      <c r="C29" s="8" t="n"/>
      <c r="D29" s="8" t="n"/>
      <c r="E29" s="8" t="n"/>
      <c r="F29" s="8" t="n"/>
      <c r="G29" s="8" t="n"/>
      <c r="H29" s="8" t="n"/>
      <c r="I29" s="8" t="n"/>
      <c r="J29" s="8" t="n"/>
      <c r="K29" s="8" t="n"/>
      <c r="L29" s="8" t="n"/>
      <c r="M29" s="8" t="n"/>
    </row>
    <row r="30">
      <c r="A30" s="8" t="inlineStr">
        <is>
          <t>INV-027</t>
        </is>
      </c>
      <c r="B30" s="8" t="n"/>
      <c r="C30" s="8" t="n"/>
      <c r="D30" s="8" t="n"/>
      <c r="E30" s="8" t="n"/>
      <c r="F30" s="8" t="n"/>
      <c r="G30" s="8" t="n"/>
      <c r="H30" s="8" t="n"/>
      <c r="I30" s="8" t="n"/>
      <c r="J30" s="8" t="n"/>
      <c r="K30" s="8" t="n"/>
      <c r="L30" s="8" t="n"/>
      <c r="M30" s="8" t="n"/>
    </row>
    <row r="31">
      <c r="A31" s="8" t="inlineStr">
        <is>
          <t>INV-028</t>
        </is>
      </c>
      <c r="B31" s="8" t="n"/>
      <c r="C31" s="8" t="n"/>
      <c r="D31" s="8" t="n"/>
      <c r="E31" s="8" t="n"/>
      <c r="F31" s="8" t="n"/>
      <c r="G31" s="8" t="n"/>
      <c r="H31" s="8" t="n"/>
      <c r="I31" s="8" t="n"/>
      <c r="J31" s="8" t="n"/>
      <c r="K31" s="8" t="n"/>
      <c r="L31" s="8" t="n"/>
      <c r="M31" s="8" t="n"/>
    </row>
    <row r="32">
      <c r="A32" s="8" t="inlineStr">
        <is>
          <t>INV-029</t>
        </is>
      </c>
      <c r="B32" s="8" t="n"/>
      <c r="C32" s="8" t="n"/>
      <c r="D32" s="8" t="n"/>
      <c r="E32" s="8" t="n"/>
      <c r="F32" s="8" t="n"/>
      <c r="G32" s="8" t="n"/>
      <c r="H32" s="8" t="n"/>
      <c r="I32" s="8" t="n"/>
      <c r="J32" s="8" t="n"/>
      <c r="K32" s="8" t="n"/>
      <c r="L32" s="8" t="n"/>
      <c r="M32" s="8" t="n"/>
    </row>
    <row r="33">
      <c r="A33" s="8" t="inlineStr">
        <is>
          <t>INV-030</t>
        </is>
      </c>
      <c r="B33" s="8" t="n"/>
      <c r="C33" s="8" t="n"/>
      <c r="D33" s="8" t="n"/>
      <c r="E33" s="8" t="n"/>
      <c r="F33" s="8" t="n"/>
      <c r="G33" s="8" t="n"/>
      <c r="H33" s="8" t="n"/>
      <c r="I33" s="8" t="n"/>
      <c r="J33" s="8" t="n"/>
      <c r="K33" s="8" t="n"/>
      <c r="L33" s="8" t="n"/>
      <c r="M33" s="8" t="n"/>
    </row>
    <row r="34">
      <c r="A34" s="8" t="inlineStr">
        <is>
          <t>INV-031</t>
        </is>
      </c>
      <c r="B34" s="8" t="n"/>
      <c r="C34" s="8" t="n"/>
      <c r="D34" s="8" t="n"/>
      <c r="E34" s="8" t="n"/>
      <c r="F34" s="8" t="n"/>
      <c r="G34" s="8" t="n"/>
      <c r="H34" s="8" t="n"/>
      <c r="I34" s="8" t="n"/>
      <c r="J34" s="8" t="n"/>
      <c r="K34" s="8" t="n"/>
      <c r="L34" s="8" t="n"/>
      <c r="M34" s="8" t="n"/>
    </row>
    <row r="35">
      <c r="A35" s="8" t="inlineStr">
        <is>
          <t>INV-032</t>
        </is>
      </c>
      <c r="B35" s="8" t="n"/>
      <c r="C35" s="8" t="n"/>
      <c r="D35" s="8" t="n"/>
      <c r="E35" s="8" t="n"/>
      <c r="F35" s="8" t="n"/>
      <c r="G35" s="8" t="n"/>
      <c r="H35" s="8" t="n"/>
      <c r="I35" s="8" t="n"/>
      <c r="J35" s="8" t="n"/>
      <c r="K35" s="8" t="n"/>
      <c r="L35" s="8" t="n"/>
      <c r="M35" s="8" t="n"/>
    </row>
    <row r="36">
      <c r="A36" s="8" t="inlineStr">
        <is>
          <t>INV-033</t>
        </is>
      </c>
      <c r="B36" s="8" t="n"/>
      <c r="C36" s="8" t="n"/>
      <c r="D36" s="8" t="n"/>
      <c r="E36" s="8" t="n"/>
      <c r="F36" s="8" t="n"/>
      <c r="G36" s="8" t="n"/>
      <c r="H36" s="8" t="n"/>
      <c r="I36" s="8" t="n"/>
      <c r="J36" s="8" t="n"/>
      <c r="K36" s="8" t="n"/>
      <c r="L36" s="8" t="n"/>
      <c r="M36" s="8" t="n"/>
    </row>
    <row r="37">
      <c r="A37" s="8" t="inlineStr">
        <is>
          <t>INV-034</t>
        </is>
      </c>
      <c r="B37" s="8" t="n"/>
      <c r="C37" s="8" t="n"/>
      <c r="D37" s="8" t="n"/>
      <c r="E37" s="8" t="n"/>
      <c r="F37" s="8" t="n"/>
      <c r="G37" s="8" t="n"/>
      <c r="H37" s="8" t="n"/>
      <c r="I37" s="8" t="n"/>
      <c r="J37" s="8" t="n"/>
      <c r="K37" s="8" t="n"/>
      <c r="L37" s="8" t="n"/>
      <c r="M37" s="8" t="n"/>
    </row>
    <row r="38">
      <c r="A38" s="8" t="inlineStr">
        <is>
          <t>INV-035</t>
        </is>
      </c>
      <c r="B38" s="8" t="n"/>
      <c r="C38" s="8" t="n"/>
      <c r="D38" s="8" t="n"/>
      <c r="E38" s="8" t="n"/>
      <c r="F38" s="8" t="n"/>
      <c r="G38" s="8" t="n"/>
      <c r="H38" s="8" t="n"/>
      <c r="I38" s="8" t="n"/>
      <c r="J38" s="8" t="n"/>
      <c r="K38" s="8" t="n"/>
      <c r="L38" s="8" t="n"/>
      <c r="M38" s="8" t="n"/>
    </row>
    <row r="39">
      <c r="A39" s="8" t="inlineStr">
        <is>
          <t>INV-036</t>
        </is>
      </c>
      <c r="B39" s="8" t="n"/>
      <c r="C39" s="8" t="n"/>
      <c r="D39" s="8" t="n"/>
      <c r="E39" s="8" t="n"/>
      <c r="F39" s="8" t="n"/>
      <c r="G39" s="8" t="n"/>
      <c r="H39" s="8" t="n"/>
      <c r="I39" s="8" t="n"/>
      <c r="J39" s="8" t="n"/>
      <c r="K39" s="8" t="n"/>
      <c r="L39" s="8" t="n"/>
      <c r="M39" s="8" t="n"/>
    </row>
    <row r="40">
      <c r="A40" s="8" t="inlineStr">
        <is>
          <t>INV-037</t>
        </is>
      </c>
      <c r="B40" s="8" t="n"/>
      <c r="C40" s="8" t="n"/>
      <c r="D40" s="8" t="n"/>
      <c r="E40" s="8" t="n"/>
      <c r="F40" s="8" t="n"/>
      <c r="G40" s="8" t="n"/>
      <c r="H40" s="8" t="n"/>
      <c r="I40" s="8" t="n"/>
      <c r="J40" s="8" t="n"/>
      <c r="K40" s="8" t="n"/>
      <c r="L40" s="8" t="n"/>
      <c r="M40" s="8" t="n"/>
    </row>
    <row r="41">
      <c r="A41" s="8" t="inlineStr">
        <is>
          <t>INV-038</t>
        </is>
      </c>
      <c r="B41" s="8" t="n"/>
      <c r="C41" s="8" t="n"/>
      <c r="D41" s="8" t="n"/>
      <c r="E41" s="8" t="n"/>
      <c r="F41" s="8" t="n"/>
      <c r="G41" s="8" t="n"/>
      <c r="H41" s="8" t="n"/>
      <c r="I41" s="8" t="n"/>
      <c r="J41" s="8" t="n"/>
      <c r="K41" s="8" t="n"/>
      <c r="L41" s="8" t="n"/>
      <c r="M41" s="8" t="n"/>
    </row>
    <row r="42">
      <c r="A42" s="8" t="inlineStr">
        <is>
          <t>INV-039</t>
        </is>
      </c>
      <c r="B42" s="8" t="n"/>
      <c r="C42" s="8" t="n"/>
      <c r="D42" s="8" t="n"/>
      <c r="E42" s="8" t="n"/>
      <c r="F42" s="8" t="n"/>
      <c r="G42" s="8" t="n"/>
      <c r="H42" s="8" t="n"/>
      <c r="I42" s="8" t="n"/>
      <c r="J42" s="8" t="n"/>
      <c r="K42" s="8" t="n"/>
      <c r="L42" s="8" t="n"/>
      <c r="M42" s="8" t="n"/>
    </row>
    <row r="43">
      <c r="A43" s="8" t="inlineStr">
        <is>
          <t>INV-040</t>
        </is>
      </c>
      <c r="B43" s="8" t="n"/>
      <c r="C43" s="8" t="n"/>
      <c r="D43" s="8" t="n"/>
      <c r="E43" s="8" t="n"/>
      <c r="F43" s="8" t="n"/>
      <c r="G43" s="8" t="n"/>
      <c r="H43" s="8" t="n"/>
      <c r="I43" s="8" t="n"/>
      <c r="J43" s="8" t="n"/>
      <c r="K43" s="8" t="n"/>
      <c r="L43" s="8" t="n"/>
      <c r="M43" s="8" t="n"/>
    </row>
    <row r="44">
      <c r="A44" s="8" t="inlineStr">
        <is>
          <t>INV-041</t>
        </is>
      </c>
      <c r="B44" s="8" t="n"/>
      <c r="C44" s="8" t="n"/>
      <c r="D44" s="8" t="n"/>
      <c r="E44" s="8" t="n"/>
      <c r="F44" s="8" t="n"/>
      <c r="G44" s="8" t="n"/>
      <c r="H44" s="8" t="n"/>
      <c r="I44" s="8" t="n"/>
      <c r="J44" s="8" t="n"/>
      <c r="K44" s="8" t="n"/>
      <c r="L44" s="8" t="n"/>
      <c r="M44" s="8" t="n"/>
    </row>
    <row r="45">
      <c r="A45" s="8" t="inlineStr">
        <is>
          <t>INV-042</t>
        </is>
      </c>
      <c r="B45" s="8" t="n"/>
      <c r="C45" s="8" t="n"/>
      <c r="D45" s="8" t="n"/>
      <c r="E45" s="8" t="n"/>
      <c r="F45" s="8" t="n"/>
      <c r="G45" s="8" t="n"/>
      <c r="H45" s="8" t="n"/>
      <c r="I45" s="8" t="n"/>
      <c r="J45" s="8" t="n"/>
      <c r="K45" s="8" t="n"/>
      <c r="L45" s="8" t="n"/>
      <c r="M45" s="8" t="n"/>
    </row>
    <row r="46">
      <c r="A46" s="8" t="inlineStr">
        <is>
          <t>INV-043</t>
        </is>
      </c>
      <c r="B46" s="8" t="n"/>
      <c r="C46" s="8" t="n"/>
      <c r="D46" s="8" t="n"/>
      <c r="E46" s="8" t="n"/>
      <c r="F46" s="8" t="n"/>
      <c r="G46" s="8" t="n"/>
      <c r="H46" s="8" t="n"/>
      <c r="I46" s="8" t="n"/>
      <c r="J46" s="8" t="n"/>
      <c r="K46" s="8" t="n"/>
      <c r="L46" s="8" t="n"/>
      <c r="M46" s="8" t="n"/>
    </row>
    <row r="47">
      <c r="A47" s="8" t="inlineStr">
        <is>
          <t>INV-044</t>
        </is>
      </c>
      <c r="B47" s="8" t="n"/>
      <c r="C47" s="8" t="n"/>
      <c r="D47" s="8" t="n"/>
      <c r="E47" s="8" t="n"/>
      <c r="F47" s="8" t="n"/>
      <c r="G47" s="8" t="n"/>
      <c r="H47" s="8" t="n"/>
      <c r="I47" s="8" t="n"/>
      <c r="J47" s="8" t="n"/>
      <c r="K47" s="8" t="n"/>
      <c r="L47" s="8" t="n"/>
      <c r="M47" s="8" t="n"/>
    </row>
    <row r="48">
      <c r="A48" s="8" t="inlineStr">
        <is>
          <t>INV-045</t>
        </is>
      </c>
      <c r="B48" s="8" t="n"/>
      <c r="C48" s="8" t="n"/>
      <c r="D48" s="8" t="n"/>
      <c r="E48" s="8" t="n"/>
      <c r="F48" s="8" t="n"/>
      <c r="G48" s="8" t="n"/>
      <c r="H48" s="8" t="n"/>
      <c r="I48" s="8" t="n"/>
      <c r="J48" s="8" t="n"/>
      <c r="K48" s="8" t="n"/>
      <c r="L48" s="8" t="n"/>
      <c r="M48" s="8" t="n"/>
    </row>
    <row r="49">
      <c r="A49" s="8" t="inlineStr">
        <is>
          <t>INV-046</t>
        </is>
      </c>
      <c r="B49" s="8" t="n"/>
      <c r="C49" s="8" t="n"/>
      <c r="D49" s="8" t="n"/>
      <c r="E49" s="8" t="n"/>
      <c r="F49" s="8" t="n"/>
      <c r="G49" s="8" t="n"/>
      <c r="H49" s="8" t="n"/>
      <c r="I49" s="8" t="n"/>
      <c r="J49" s="8" t="n"/>
      <c r="K49" s="8" t="n"/>
      <c r="L49" s="8" t="n"/>
      <c r="M49" s="8" t="n"/>
    </row>
    <row r="50">
      <c r="A50" s="8" t="inlineStr">
        <is>
          <t>INV-047</t>
        </is>
      </c>
      <c r="B50" s="8" t="n"/>
      <c r="C50" s="8" t="n"/>
      <c r="D50" s="8" t="n"/>
      <c r="E50" s="8" t="n"/>
      <c r="F50" s="8" t="n"/>
      <c r="G50" s="8" t="n"/>
      <c r="H50" s="8" t="n"/>
      <c r="I50" s="8" t="n"/>
      <c r="J50" s="8" t="n"/>
      <c r="K50" s="8" t="n"/>
      <c r="L50" s="8" t="n"/>
      <c r="M50" s="8" t="n"/>
    </row>
    <row r="51">
      <c r="A51" s="8" t="inlineStr">
        <is>
          <t>INV-048</t>
        </is>
      </c>
      <c r="B51" s="8" t="n"/>
      <c r="C51" s="8" t="n"/>
      <c r="D51" s="8" t="n"/>
      <c r="E51" s="8" t="n"/>
      <c r="F51" s="8" t="n"/>
      <c r="G51" s="8" t="n"/>
      <c r="H51" s="8" t="n"/>
      <c r="I51" s="8" t="n"/>
      <c r="J51" s="8" t="n"/>
      <c r="K51" s="8" t="n"/>
      <c r="L51" s="8" t="n"/>
      <c r="M51" s="8" t="n"/>
    </row>
    <row r="52">
      <c r="A52" s="8" t="inlineStr">
        <is>
          <t>INV-049</t>
        </is>
      </c>
      <c r="B52" s="8" t="n"/>
      <c r="C52" s="8" t="n"/>
      <c r="D52" s="8" t="n"/>
      <c r="E52" s="8" t="n"/>
      <c r="F52" s="8" t="n"/>
      <c r="G52" s="8" t="n"/>
      <c r="H52" s="8" t="n"/>
      <c r="I52" s="8" t="n"/>
      <c r="J52" s="8" t="n"/>
      <c r="K52" s="8" t="n"/>
      <c r="L52" s="8" t="n"/>
      <c r="M52" s="8" t="n"/>
    </row>
    <row r="53">
      <c r="A53" s="8" t="inlineStr">
        <is>
          <t>INV-050</t>
        </is>
      </c>
      <c r="B53" s="8" t="n"/>
      <c r="C53" s="8" t="n"/>
      <c r="D53" s="8" t="n"/>
      <c r="E53" s="8" t="n"/>
      <c r="F53" s="8" t="n"/>
      <c r="G53" s="8" t="n"/>
      <c r="H53" s="8" t="n"/>
      <c r="I53" s="8" t="n"/>
      <c r="J53" s="8" t="n"/>
      <c r="K53" s="8" t="n"/>
      <c r="L53" s="8" t="n"/>
      <c r="M53" s="8" t="n"/>
    </row>
  </sheetData>
  <mergeCells count="1">
    <mergeCell ref="A1:M1"/>
  </mergeCells>
  <dataValidations count="4">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"Transform,Grow,Run,Comply/Secure"</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"Proposed,In Planning,In Execution,In Closure,On Hold,Completed,Cancelled"</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1" type="list">
      <formula1>"P1-Critical,P2-High,P3-Medium,P4-Low"</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1" type="list">
      <formula1>"5-Excellent,4-Good,3-Concerning,2-Poor,1-Critical"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2025-12-05T12:31:24Z</dcterms:created>
  <dcterms:modified xsi:type="dcterms:W3CDTF">2025-12-05T12:31:24Z</dcterms:modified>
</cp:coreProperties>
</file>